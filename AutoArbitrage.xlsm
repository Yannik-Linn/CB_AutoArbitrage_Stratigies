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ion\Documents\GitHub\UniversalRotation\"/>
    </mc:Choice>
  </mc:AlternateContent>
  <xr:revisionPtr revIDLastSave="0" documentId="13_ncr:1_{648CCE0A-9CA0-47CB-A781-78B8E3A0C3F5}" xr6:coauthVersionLast="47" xr6:coauthVersionMax="47" xr10:uidLastSave="{00000000-0000-0000-0000-000000000000}"/>
  <bookViews>
    <workbookView xWindow="-110" yWindow="-110" windowWidth="25820" windowHeight="15500" tabRatio="807" firstSheet="1" activeTab="2" xr2:uid="{00000000-000D-0000-FFFF-FFFF00000000}"/>
  </bookViews>
  <sheets>
    <sheet name="Readme" sheetId="14" r:id="rId1"/>
    <sheet name="RealTimeData - Convertible Bond" sheetId="15" r:id="rId2"/>
    <sheet name="RealTimeData - Stock" sheetId="16" r:id="rId3"/>
    <sheet name="LowPremium_CB_Rotation" sheetId="6" r:id="rId4"/>
    <sheet name="DoubleLow_CB_Rotation" sheetId="9" r:id="rId5"/>
    <sheet name="_xlwings.conf" sheetId="2" r:id="rId6"/>
  </sheets>
  <functionGroups builtInGroupCount="19"/>
  <definedNames>
    <definedName name="_xlnm._FilterDatabase" localSheetId="4" hidden="1">DoubleLow_CB_Rotation!$A$2:$X$44</definedName>
    <definedName name="_xlnm._FilterDatabase" localSheetId="3" hidden="1">LowPremium_CB_Rotation!$A$2:$W$43</definedName>
    <definedName name="_xlnm._FilterDatabase" localSheetId="1" hidden="1">'RealTimeData - Convertible Bond'!$A$7:$U$10</definedName>
    <definedName name="_xlnm._FilterDatabase" localSheetId="2" hidden="1">'RealTimeData - Stock'!$A$7:$T$10</definedName>
  </definedNames>
  <calcPr calcId="191029"/>
  <extLst>
    <ext xmlns:x14="http://schemas.microsoft.com/office/spreadsheetml/2009/9/main" uri="{8193D73E-4604-4355-AFF4-8A2333D13BE4}">
      <x14:definedNames>
        <x14:definedName name="get_fund_k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LJJZ_PRE20">
          <x14:argumentDescriptions count="1">
            <x14:argumentDescription index="0">Positional argument 1</x14:argumentDescription>
          </x14:argumentDescriptions>
        </x14:definedName>
        <x14:definedName name="get_fund_net_asset_value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premium_rate">
          <x14:argumentDescriptions count="1">
            <x14:argumentDescription index="0">Positional argument 1</x14:argumentDescription>
          </x14:argumentDescriptions>
        </x14:definedName>
        <x14:definedName name="get_rank_val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fund20LJJZ">
          <x14:argumentDescriptions count="1">
            <x14:argumentDescription index="0">Positional argument 1</x14:argumentDescription>
          </x14:argumentDescriptions>
        </x14:definedName>
        <x14:definedName name="rotate_fund_by_premium_rate_and_20net_asset_val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9" l="1"/>
  <c r="C8" i="9"/>
  <c r="C7" i="9"/>
  <c r="C6" i="9"/>
  <c r="C5" i="9"/>
  <c r="C4" i="9"/>
  <c r="C3" i="9"/>
  <c r="C8" i="6"/>
  <c r="C7" i="6"/>
  <c r="C5" i="6"/>
  <c r="C4" i="6"/>
  <c r="C3" i="6"/>
  <c r="C6" i="6"/>
  <c r="E4" i="6" l="1"/>
  <c r="E3" i="6"/>
  <c r="N7" i="6"/>
  <c r="C9" i="6"/>
  <c r="C10" i="6"/>
  <c r="O4" i="9"/>
  <c r="O5" i="9"/>
  <c r="O6" i="9"/>
  <c r="O7" i="9"/>
  <c r="O3" i="9"/>
  <c r="X11" i="9"/>
  <c r="X10" i="9"/>
  <c r="X9" i="9"/>
  <c r="X8" i="9"/>
  <c r="X7" i="9"/>
  <c r="X6" i="9"/>
  <c r="X5" i="9"/>
  <c r="X4" i="9"/>
  <c r="X3" i="9"/>
  <c r="D8" i="6"/>
  <c r="N8" i="6" l="1"/>
  <c r="N9" i="6"/>
  <c r="N10" i="6"/>
  <c r="N11" i="6"/>
  <c r="N12" i="6"/>
  <c r="N13" i="6"/>
  <c r="N14" i="6"/>
  <c r="N15" i="6"/>
  <c r="N16" i="6"/>
  <c r="N17" i="6"/>
  <c r="N18" i="6"/>
  <c r="N19" i="6"/>
  <c r="N20" i="6"/>
  <c r="C10" i="9" l="1"/>
  <c r="N4" i="6" l="1"/>
  <c r="N5" i="6"/>
  <c r="N6" i="6"/>
  <c r="N3" i="6"/>
  <c r="D4" i="9" l="1"/>
  <c r="D5" i="9"/>
  <c r="D6" i="9"/>
  <c r="D7" i="9"/>
  <c r="D8" i="9"/>
  <c r="D9" i="9"/>
  <c r="D10" i="9"/>
  <c r="D3" i="9" l="1"/>
  <c r="D4" i="6" l="1"/>
  <c r="D5" i="6"/>
  <c r="D6" i="6"/>
  <c r="D7" i="6"/>
  <c r="D9" i="6"/>
  <c r="D10" i="6"/>
  <c r="D3" i="6"/>
  <c r="E4" i="9" l="1"/>
  <c r="E5" i="9"/>
  <c r="E6" i="9"/>
  <c r="E7" i="9"/>
  <c r="E8" i="9"/>
  <c r="E9" i="9"/>
  <c r="E10" i="9"/>
  <c r="E3" i="9"/>
  <c r="E5" i="6" l="1"/>
  <c r="E6" i="6"/>
  <c r="E7" i="6"/>
  <c r="E8" i="6"/>
  <c r="E9" i="6"/>
  <c r="E10" i="6"/>
</calcChain>
</file>

<file path=xl/sharedStrings.xml><?xml version="1.0" encoding="utf-8"?>
<sst xmlns="http://schemas.openxmlformats.org/spreadsheetml/2006/main" count="268" uniqueCount="169">
  <si>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</si>
  <si>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</si>
  <si>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</si>
  <si>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</si>
  <si>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</si>
  <si>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</si>
  <si>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</si>
  <si>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</si>
  <si>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</si>
  <si>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</si>
  <si>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</si>
  <si>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</si>
  <si>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</si>
  <si>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</si>
  <si>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</si>
  <si>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证券名称</t>
  </si>
  <si>
    <t>证券代码</t>
  </si>
  <si>
    <t>孚日转债</t>
  </si>
  <si>
    <t>花王转债</t>
  </si>
  <si>
    <t>是否已买</t>
  </si>
  <si>
    <t>宏丰转债</t>
  </si>
  <si>
    <t>当前价</t>
  </si>
  <si>
    <t>转债代码</t>
  </si>
  <si>
    <t>转债名称</t>
  </si>
  <si>
    <t>最新低溢价可转债排名</t>
    <phoneticPr fontId="3" type="noConversion"/>
  </si>
  <si>
    <t>注：点击更新前请先点击更新《可转债实时数据》</t>
    <phoneticPr fontId="3" type="noConversion"/>
  </si>
  <si>
    <t>最新双低可转债排名</t>
    <phoneticPr fontId="3" type="noConversion"/>
  </si>
  <si>
    <t>注：点击更新前请先点击更新《可转债实时数据》</t>
    <phoneticPr fontId="3" type="noConversion"/>
  </si>
  <si>
    <t>亚药转债</t>
  </si>
  <si>
    <t>低溢价</t>
    <phoneticPr fontId="3" type="noConversion"/>
  </si>
  <si>
    <t>双低</t>
    <phoneticPr fontId="3" type="noConversion"/>
  </si>
  <si>
    <t>多因子参数配置:</t>
    <phoneticPr fontId="3" type="noConversion"/>
  </si>
  <si>
    <t>多因子2</t>
    <phoneticPr fontId="3" type="noConversion"/>
  </si>
  <si>
    <t>多因子1</t>
    <phoneticPr fontId="3" type="noConversion"/>
  </si>
  <si>
    <t>最新多因子1可转债排名</t>
    <phoneticPr fontId="3" type="noConversion"/>
  </si>
  <si>
    <t>最新多因子2可转债排名</t>
    <phoneticPr fontId="3" type="noConversion"/>
  </si>
  <si>
    <t>晨丰转债</t>
  </si>
  <si>
    <t>思创转债</t>
  </si>
  <si>
    <t>全筑转债</t>
  </si>
  <si>
    <t>阈值上限,权重</t>
    <phoneticPr fontId="3" type="noConversion"/>
  </si>
  <si>
    <t>7,3</t>
    <phoneticPr fontId="3" type="noConversion"/>
  </si>
  <si>
    <t>0.5,2</t>
    <phoneticPr fontId="3" type="noConversion"/>
  </si>
  <si>
    <t>250,4</t>
    <phoneticPr fontId="3" type="noConversion"/>
  </si>
  <si>
    <t>0.5,3</t>
    <phoneticPr fontId="3" type="noConversion"/>
  </si>
  <si>
    <t>7,1</t>
    <phoneticPr fontId="3" type="noConversion"/>
  </si>
  <si>
    <t>参数配置:</t>
    <phoneticPr fontId="3" type="noConversion"/>
  </si>
  <si>
    <t>阈值上限</t>
    <phoneticPr fontId="3" type="noConversion"/>
  </si>
  <si>
    <t>阈值上限</t>
    <phoneticPr fontId="3" type="noConversion"/>
  </si>
  <si>
    <t>阈值上限</t>
    <phoneticPr fontId="3" type="noConversion"/>
  </si>
  <si>
    <t>天壕转债!</t>
  </si>
  <si>
    <t>瑞鹄转债!</t>
  </si>
  <si>
    <t>鼎胜转债!</t>
  </si>
  <si>
    <t>法本转债!</t>
  </si>
  <si>
    <t>新致转债!</t>
  </si>
  <si>
    <t>冠盛转债</t>
  </si>
  <si>
    <t>中钢转债!</t>
  </si>
  <si>
    <t>Spot Price</t>
  </si>
  <si>
    <t>Premium Rate</t>
  </si>
  <si>
    <t>Outstanding Amount</t>
  </si>
  <si>
    <t>Sum Factor</t>
  </si>
  <si>
    <t>华源转债!</t>
  </si>
  <si>
    <t>华统转债!</t>
  </si>
  <si>
    <t>银轮转债!!</t>
  </si>
  <si>
    <t>长久转债!</t>
  </si>
  <si>
    <t>150,7</t>
  </si>
  <si>
    <t>Holding Position?</t>
  </si>
  <si>
    <t>Rank_Low Premium Rate</t>
  </si>
  <si>
    <t>Rank_Sum Factor</t>
  </si>
  <si>
    <t>Rank_Multifactor Model 2</t>
  </si>
  <si>
    <t>双低可转债持仓</t>
  </si>
  <si>
    <t>低溢价可转债持仓</t>
  </si>
  <si>
    <t>Rank_Multifactor Model 1</t>
  </si>
  <si>
    <t>SZ300332</t>
  </si>
  <si>
    <t>SZ002840</t>
  </si>
  <si>
    <t>SZ002126</t>
  </si>
  <si>
    <t>更新时间:20230904-20.23.39</t>
  </si>
  <si>
    <t>Readme</t>
  </si>
  <si>
    <t>Here</t>
  </si>
  <si>
    <t>Quote</t>
  </si>
  <si>
    <t>Name</t>
  </si>
  <si>
    <t>Change</t>
  </si>
  <si>
    <t>Maturity Date</t>
  </si>
  <si>
    <t>Day High</t>
  </si>
  <si>
    <t>Day Low</t>
  </si>
  <si>
    <t>Turnover Rate</t>
  </si>
  <si>
    <t>Conversion Price</t>
  </si>
  <si>
    <t>Conversion Value</t>
  </si>
  <si>
    <t>Current</t>
  </si>
  <si>
    <t>Double Low</t>
  </si>
  <si>
    <t>Remain Year</t>
  </si>
  <si>
    <t>Benefit Before Tax</t>
  </si>
  <si>
    <t>银轮转债</t>
  </si>
  <si>
    <t>巨星转债</t>
  </si>
  <si>
    <t>华统转债</t>
  </si>
  <si>
    <t>天壕转债</t>
  </si>
  <si>
    <t>北方转债</t>
  </si>
  <si>
    <t>耐普转债</t>
  </si>
  <si>
    <t>永和转债</t>
  </si>
  <si>
    <t>伊力转债</t>
  </si>
  <si>
    <t>金盘转债</t>
  </si>
  <si>
    <t>新致转债</t>
  </si>
  <si>
    <t>国光转债</t>
  </si>
  <si>
    <t>水羊转债</t>
  </si>
  <si>
    <t>瑞鹄转债</t>
  </si>
  <si>
    <t>鼎胜转债</t>
  </si>
  <si>
    <t>Amount (k)</t>
  </si>
  <si>
    <t>Outstanding Amount (m)</t>
  </si>
  <si>
    <t>700,3</t>
  </si>
  <si>
    <t>700,1</t>
  </si>
  <si>
    <t>Amplitude</t>
  </si>
  <si>
    <t>Issue Date</t>
  </si>
  <si>
    <t>Underlying Stock</t>
  </si>
  <si>
    <t>SH603477</t>
  </si>
  <si>
    <t>SZ000065</t>
  </si>
  <si>
    <t>SZ300818</t>
  </si>
  <si>
    <t>SH605020</t>
  </si>
  <si>
    <t>SH600197</t>
  </si>
  <si>
    <t>SH688676</t>
  </si>
  <si>
    <t>平煤转债</t>
  </si>
  <si>
    <t>SH601666</t>
  </si>
  <si>
    <t>苏行转债</t>
  </si>
  <si>
    <t>SZ002966</t>
  </si>
  <si>
    <t>家联转债</t>
  </si>
  <si>
    <t>SZ301193</t>
  </si>
  <si>
    <t>豪鹏转债</t>
  </si>
  <si>
    <t>SZ001283</t>
  </si>
  <si>
    <t>科数转债</t>
  </si>
  <si>
    <t>SZ002335</t>
  </si>
  <si>
    <t>国力转债</t>
  </si>
  <si>
    <t>SH688103</t>
  </si>
  <si>
    <t>汇通转债</t>
  </si>
  <si>
    <t>SH603176</t>
  </si>
  <si>
    <t>晶澳转债</t>
  </si>
  <si>
    <t>SZ002459</t>
  </si>
  <si>
    <t>Dividend</t>
  </si>
  <si>
    <t>Interest Rate</t>
  </si>
  <si>
    <t>Volatility</t>
  </si>
  <si>
    <t>D1</t>
  </si>
  <si>
    <t>D2</t>
  </si>
  <si>
    <t>Pure Bond Value</t>
  </si>
  <si>
    <t>Callable Price</t>
  </si>
  <si>
    <t>Theoretical Value</t>
  </si>
  <si>
    <t>Bias</t>
  </si>
  <si>
    <t>S_Current</t>
  </si>
  <si>
    <t>平煤股份</t>
  </si>
  <si>
    <t>银轮股份</t>
  </si>
  <si>
    <t>华统股份</t>
  </si>
  <si>
    <t>巨星农牧</t>
  </si>
  <si>
    <t>天壕能源</t>
  </si>
  <si>
    <t>金盘科技</t>
  </si>
  <si>
    <t>北方国际</t>
  </si>
  <si>
    <t>永和股份</t>
  </si>
  <si>
    <t>伊力特</t>
  </si>
  <si>
    <t>耐普矿机</t>
  </si>
  <si>
    <t>苏州银行</t>
  </si>
  <si>
    <t>家联科技</t>
  </si>
  <si>
    <t>豪鹏科技</t>
  </si>
  <si>
    <t>科华数据</t>
  </si>
  <si>
    <t>国力股份</t>
  </si>
  <si>
    <t>汇通集团</t>
  </si>
  <si>
    <t>晶澳科技</t>
  </si>
  <si>
    <t>Option Value</t>
  </si>
  <si>
    <t>GCNY10</t>
  </si>
  <si>
    <t>China 10-Year Government Bond Yield</t>
  </si>
  <si>
    <t>Putable Value</t>
  </si>
  <si>
    <t>T_refresh:20240220-23.37.37</t>
  </si>
  <si>
    <t>海亮转债</t>
  </si>
  <si>
    <t>SZ002203</t>
  </si>
  <si>
    <t>海亮股份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</si>
</sst>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_ "/>
    <numFmt numFmtId="165" formatCode="[$-F400]h:mm:ss\ AM/PM"/>
    <numFmt numFmtId="173" formatCode="0.000_ "/>
    <numFmt numFmtId="179" formatCode="0.0000"/>
  </numFmts>
  <fonts count="1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3"/>
      <charset val="134"/>
      <scheme val="minor"/>
    </font>
    <font>
      <b/>
      <sz val="12"/>
      <color theme="0"/>
      <name val="Calibri"/>
      <family val="3"/>
      <charset val="134"/>
      <scheme val="minor"/>
    </font>
    <font>
      <sz val="12"/>
      <color theme="1"/>
      <name val="Calibri"/>
      <family val="3"/>
      <charset val="134"/>
      <scheme val="minor"/>
    </font>
    <font>
      <sz val="12"/>
      <color rgb="FFFFFF00"/>
      <name val="Calibri"/>
      <family val="3"/>
      <charset val="134"/>
      <scheme val="minor"/>
    </font>
    <font>
      <b/>
      <sz val="12"/>
      <color rgb="FFFFFF00"/>
      <name val="Calibri"/>
      <family val="3"/>
      <charset val="134"/>
      <scheme val="minor"/>
    </font>
    <font>
      <sz val="11"/>
      <color rgb="FFFFFF00"/>
      <name val="Calibri"/>
      <family val="3"/>
      <charset val="134"/>
      <scheme val="minor"/>
    </font>
    <font>
      <sz val="12"/>
      <color theme="1"/>
      <name val="Calibri"/>
      <family val="2"/>
      <scheme val="minor"/>
    </font>
    <font>
      <sz val="11"/>
      <color indexed="8"/>
      <name val="宋体"/>
      <family val="3"/>
      <charset val="134"/>
    </font>
    <font>
      <sz val="12"/>
      <name val="Calibri"/>
      <family val="3"/>
      <charset val="134"/>
      <scheme val="minor"/>
    </font>
    <font>
      <u/>
      <sz val="12"/>
      <color theme="10"/>
      <name val="Calibri"/>
      <family val="2"/>
      <scheme val="minor"/>
    </font>
    <font>
      <b/>
      <u/>
      <sz val="14"/>
      <color rgb="FF993300"/>
      <name val="宋体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65" fontId="12" fillId="0" borderId="0">
      <alignment vertical="center"/>
    </xf>
    <xf numFmtId="0" fontId="14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>
      <alignment vertical="center"/>
    </xf>
  </cellStyleXfs>
  <cellXfs count="7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4" fillId="0" borderId="0" xfId="1"/>
    <xf numFmtId="0" fontId="6" fillId="3" borderId="1" xfId="0" applyFont="1" applyFill="1" applyBorder="1"/>
    <xf numFmtId="0" fontId="5" fillId="4" borderId="1" xfId="0" applyFont="1" applyFill="1" applyBorder="1"/>
    <xf numFmtId="0" fontId="5" fillId="0" borderId="0" xfId="1" applyFont="1"/>
    <xf numFmtId="0" fontId="7" fillId="0" borderId="0" xfId="1" applyFont="1"/>
    <xf numFmtId="0" fontId="7" fillId="2" borderId="0" xfId="1" applyFont="1" applyFill="1"/>
    <xf numFmtId="0" fontId="5" fillId="0" borderId="0" xfId="0" applyFont="1"/>
    <xf numFmtId="0" fontId="8" fillId="5" borderId="0" xfId="1" applyFont="1" applyFill="1"/>
    <xf numFmtId="0" fontId="9" fillId="5" borderId="0" xfId="1" applyFont="1" applyFill="1"/>
    <xf numFmtId="0" fontId="10" fillId="5" borderId="0" xfId="1" applyFont="1" applyFill="1"/>
    <xf numFmtId="164" fontId="0" fillId="0" borderId="0" xfId="0" applyNumberFormat="1"/>
    <xf numFmtId="0" fontId="8" fillId="6" borderId="0" xfId="0" applyFont="1" applyFill="1"/>
    <xf numFmtId="164" fontId="5" fillId="0" borderId="0" xfId="1" applyNumberFormat="1" applyFont="1"/>
    <xf numFmtId="164" fontId="7" fillId="0" borderId="0" xfId="1" applyNumberFormat="1" applyFont="1"/>
    <xf numFmtId="0" fontId="5" fillId="7" borderId="0" xfId="1" applyFont="1" applyFill="1"/>
    <xf numFmtId="164" fontId="5" fillId="7" borderId="0" xfId="1" applyNumberFormat="1" applyFont="1" applyFill="1"/>
    <xf numFmtId="14" fontId="0" fillId="0" borderId="0" xfId="0" applyNumberFormat="1"/>
    <xf numFmtId="10" fontId="0" fillId="0" borderId="0" xfId="0" applyNumberFormat="1"/>
    <xf numFmtId="0" fontId="14" fillId="0" borderId="0" xfId="5"/>
    <xf numFmtId="0" fontId="7" fillId="0" borderId="0" xfId="0" applyFont="1"/>
    <xf numFmtId="10" fontId="5" fillId="7" borderId="0" xfId="1" applyNumberFormat="1" applyFont="1" applyFill="1"/>
    <xf numFmtId="10" fontId="5" fillId="0" borderId="0" xfId="1" applyNumberFormat="1" applyFont="1"/>
    <xf numFmtId="10" fontId="7" fillId="0" borderId="0" xfId="1" applyNumberFormat="1" applyFont="1"/>
    <xf numFmtId="10" fontId="0" fillId="8" borderId="0" xfId="0" applyNumberFormat="1" applyFill="1"/>
    <xf numFmtId="0" fontId="13" fillId="6" borderId="0" xfId="0" applyFont="1" applyFill="1" applyAlignment="1">
      <alignment vertical="top" wrapText="1"/>
    </xf>
    <xf numFmtId="0" fontId="13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0" fillId="9" borderId="0" xfId="0" applyFill="1"/>
    <xf numFmtId="0" fontId="0" fillId="8" borderId="0" xfId="0" applyFill="1"/>
    <xf numFmtId="164" fontId="0" fillId="8" borderId="0" xfId="0" applyNumberFormat="1" applyFill="1"/>
    <xf numFmtId="0" fontId="0" fillId="10" borderId="0" xfId="0" applyFill="1"/>
    <xf numFmtId="10" fontId="0" fillId="10" borderId="0" xfId="0" applyNumberFormat="1" applyFill="1"/>
    <xf numFmtId="164" fontId="0" fillId="10" borderId="0" xfId="0" applyNumberFormat="1" applyFill="1"/>
    <xf numFmtId="0" fontId="0" fillId="11" borderId="0" xfId="0" applyFill="1"/>
    <xf numFmtId="0" fontId="0" fillId="12" borderId="0" xfId="0" applyFill="1"/>
    <xf numFmtId="10" fontId="0" fillId="11" borderId="0" xfId="0" applyNumberFormat="1" applyFill="1"/>
    <xf numFmtId="164" fontId="0" fillId="11" borderId="0" xfId="0" applyNumberFormat="1" applyFill="1"/>
    <xf numFmtId="10" fontId="0" fillId="12" borderId="0" xfId="0" applyNumberFormat="1" applyFill="1"/>
    <xf numFmtId="164" fontId="0" fillId="12" borderId="0" xfId="0" applyNumberFormat="1" applyFill="1"/>
    <xf numFmtId="0" fontId="0" fillId="2" borderId="0" xfId="0" applyFill="1" applyAlignment="1">
      <alignment vertical="top" wrapText="1"/>
    </xf>
    <xf numFmtId="0" fontId="7" fillId="0" borderId="0" xfId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top" wrapText="1"/>
    </xf>
    <xf numFmtId="0" fontId="16" fillId="2" borderId="0" xfId="4" applyNumberFormat="1" applyFont="1" applyFill="1" applyAlignment="1">
      <alignment horizontal="center" vertical="center" wrapText="1"/>
    </xf>
    <xf numFmtId="164" fontId="16" fillId="2" borderId="0" xfId="4" applyNumberFormat="1" applyFont="1" applyFill="1" applyAlignment="1">
      <alignment horizontal="center" vertical="center" wrapText="1"/>
    </xf>
    <xf numFmtId="10" fontId="16" fillId="2" borderId="0" xfId="3" applyNumberFormat="1" applyFont="1" applyFill="1" applyBorder="1" applyAlignment="1">
      <alignment horizontal="center" vertical="center" wrapText="1"/>
    </xf>
    <xf numFmtId="0" fontId="16" fillId="2" borderId="0" xfId="0" applyFont="1" applyFill="1" applyAlignment="1">
      <alignment horizontal="center" vertical="center" wrapText="1"/>
    </xf>
    <xf numFmtId="164" fontId="16" fillId="2" borderId="0" xfId="0" applyNumberFormat="1" applyFont="1" applyFill="1" applyAlignment="1">
      <alignment horizontal="center" vertical="center" wrapText="1"/>
    </xf>
    <xf numFmtId="164" fontId="16" fillId="2" borderId="0" xfId="3" applyNumberFormat="1" applyFont="1" applyFill="1" applyBorder="1" applyAlignment="1">
      <alignment horizontal="center" vertical="center" wrapText="1"/>
    </xf>
    <xf numFmtId="10" fontId="16" fillId="2" borderId="0" xfId="4" applyNumberFormat="1" applyFont="1" applyFill="1" applyAlignment="1">
      <alignment horizontal="center" vertical="center" wrapText="1"/>
    </xf>
    <xf numFmtId="10" fontId="16" fillId="2" borderId="0" xfId="0" applyNumberFormat="1" applyFont="1" applyFill="1" applyAlignment="1">
      <alignment horizontal="center" vertical="center" wrapText="1"/>
    </xf>
    <xf numFmtId="10" fontId="16" fillId="0" borderId="0" xfId="3" applyNumberFormat="1" applyFont="1" applyFill="1" applyBorder="1" applyAlignment="1">
      <alignment horizontal="center" vertical="center" wrapText="1"/>
    </xf>
    <xf numFmtId="0" fontId="17" fillId="0" borderId="0" xfId="0" applyFont="1"/>
    <xf numFmtId="2" fontId="16" fillId="2" borderId="0" xfId="3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top" wrapText="1"/>
    </xf>
    <xf numFmtId="2" fontId="0" fillId="8" borderId="0" xfId="0" applyNumberFormat="1" applyFill="1"/>
    <xf numFmtId="2" fontId="0" fillId="10" borderId="0" xfId="0" applyNumberFormat="1" applyFill="1"/>
    <xf numFmtId="2" fontId="0" fillId="11" borderId="0" xfId="0" applyNumberFormat="1" applyFill="1"/>
    <xf numFmtId="2" fontId="0" fillId="12" borderId="0" xfId="0" applyNumberFormat="1" applyFill="1"/>
    <xf numFmtId="2" fontId="0" fillId="0" borderId="0" xfId="0" applyNumberFormat="1"/>
    <xf numFmtId="10" fontId="0" fillId="0" borderId="0" xfId="3" applyNumberFormat="1" applyFont="1" applyAlignment="1">
      <alignment vertical="top" wrapText="1"/>
    </xf>
    <xf numFmtId="10" fontId="0" fillId="8" borderId="0" xfId="3" applyNumberFormat="1" applyFont="1" applyFill="1" applyAlignment="1"/>
    <xf numFmtId="10" fontId="0" fillId="10" borderId="0" xfId="3" applyNumberFormat="1" applyFont="1" applyFill="1" applyAlignment="1"/>
    <xf numFmtId="10" fontId="0" fillId="11" borderId="0" xfId="3" applyNumberFormat="1" applyFont="1" applyFill="1" applyAlignment="1"/>
    <xf numFmtId="10" fontId="0" fillId="12" borderId="0" xfId="3" applyNumberFormat="1" applyFont="1" applyFill="1" applyAlignment="1"/>
    <xf numFmtId="10" fontId="16" fillId="2" borderId="0" xfId="3" applyNumberFormat="1" applyFont="1" applyFill="1" applyAlignment="1">
      <alignment horizontal="center" vertical="center" wrapText="1"/>
    </xf>
    <xf numFmtId="10" fontId="0" fillId="0" borderId="0" xfId="3" applyNumberFormat="1" applyFont="1" applyAlignment="1"/>
    <xf numFmtId="0" fontId="14" fillId="0" borderId="0" xfId="5" applyAlignment="1">
      <alignment vertical="center"/>
    </xf>
    <xf numFmtId="173" fontId="0" fillId="8" borderId="0" xfId="0" applyNumberFormat="1" applyFill="1"/>
    <xf numFmtId="173" fontId="0" fillId="0" borderId="0" xfId="0" applyNumberFormat="1"/>
    <xf numFmtId="0" fontId="13" fillId="2" borderId="0" xfId="0" applyFont="1" applyFill="1" applyAlignment="1">
      <alignment horizontal="center" vertical="center" wrapText="1"/>
    </xf>
    <xf numFmtId="2" fontId="13" fillId="2" borderId="0" xfId="0" applyNumberFormat="1" applyFont="1" applyFill="1" applyAlignment="1">
      <alignment horizontal="center" vertical="center" wrapText="1"/>
    </xf>
    <xf numFmtId="179" fontId="0" fillId="0" borderId="0" xfId="0" applyNumberFormat="1"/>
  </cellXfs>
  <cellStyles count="8">
    <cellStyle name="常规" xfId="0" builtinId="0"/>
    <cellStyle name="常规 2" xfId="1" xr:uid="{00000000-0005-0000-0000-000003000000}"/>
    <cellStyle name="常规 2 2" xfId="6" xr:uid="{4D846888-096A-4A30-B9D5-D4D967EB4800}"/>
    <cellStyle name="常规 4" xfId="4" xr:uid="{00000000-0005-0000-0000-000004000000}"/>
    <cellStyle name="百分比" xfId="3" builtinId="5"/>
    <cellStyle name="百分比 2" xfId="2" xr:uid="{00000000-0005-0000-0000-000001000000}"/>
    <cellStyle name="百分比 2 2" xfId="7" xr:uid="{C47F97EF-67D1-462C-81AC-C6F5EE8C14D9}"/>
    <cellStyle name="超链接" xfId="5" builtinId="8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3</xdr:row>
          <xdr:rowOff>12700</xdr:rowOff>
        </xdr:from>
        <xdr:to>
          <xdr:col>23</xdr:col>
          <xdr:colOff>495300</xdr:colOff>
          <xdr:row>3</xdr:row>
          <xdr:rowOff>355600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3</xdr:row>
          <xdr:rowOff>12700</xdr:rowOff>
        </xdr:from>
        <xdr:to>
          <xdr:col>22</xdr:col>
          <xdr:colOff>495300</xdr:colOff>
          <xdr:row>3</xdr:row>
          <xdr:rowOff>355600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266700</xdr:colOff>
          <xdr:row>0</xdr:row>
          <xdr:rowOff>0</xdr:rowOff>
        </xdr:from>
        <xdr:to>
          <xdr:col>15</xdr:col>
          <xdr:colOff>514350</xdr:colOff>
          <xdr:row>2</xdr:row>
          <xdr:rowOff>114300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177800</xdr:colOff>
          <xdr:row>0</xdr:row>
          <xdr:rowOff>0</xdr:rowOff>
        </xdr:from>
        <xdr:to>
          <xdr:col>24</xdr:col>
          <xdr:colOff>425450</xdr:colOff>
          <xdr:row>2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en-US" sz="1400" b="1" i="0" u="sng" strike="noStrike" baseline="0">
                <a:solidFill>
                  <a:srgbClr val="9933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0</xdr:row>
          <xdr:rowOff>0</xdr:rowOff>
        </xdr:from>
        <xdr:to>
          <xdr:col>16</xdr:col>
          <xdr:colOff>431800</xdr:colOff>
          <xdr:row>2</xdr:row>
          <xdr:rowOff>95250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146050</xdr:colOff>
          <xdr:row>0</xdr:row>
          <xdr:rowOff>0</xdr:rowOff>
        </xdr:from>
        <xdr:to>
          <xdr:col>25</xdr:col>
          <xdr:colOff>438150</xdr:colOff>
          <xdr:row>2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sng" strike="noStrike" baseline="0">
                  <a:solidFill>
                    <a:srgbClr val="993300"/>
                  </a:solidFill>
                  <a:latin typeface="宋体"/>
                  <a:ea typeface="宋体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tradingeconomics.com/china/government-bond-yield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FFFF00"/>
  </sheetPr>
  <dimension ref="A1:S52"/>
  <sheetViews>
    <sheetView workbookViewId="0">
      <selection activeCell="H19" sqref="H19"/>
    </sheetView>
  </sheetViews>
  <sheetFormatPr defaultRowHeight="15.5"/>
  <sheetData>
    <row r="1" spans="1:19">
      <c r="A1" s="9"/>
    </row>
    <row r="2" spans="1:19">
      <c r="A2" s="9"/>
      <c r="B2" s="9" t="s">
        <v>76</v>
      </c>
      <c r="C2" s="9" t="s">
        <v>77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</row>
    <row r="3" spans="1:19">
      <c r="A3" s="22"/>
    </row>
    <row r="15" spans="1:19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</row>
    <row r="17" spans="1:19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</row>
    <row r="22" spans="1:19" s="9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36" s="9" customFormat="1"/>
    <row r="38" s="9" customFormat="1"/>
    <row r="52" s="9" customFormat="1"/>
  </sheetData>
  <phoneticPr fontId="3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25"/>
  <sheetViews>
    <sheetView zoomScaleNormal="100" zoomScaleSheetLayoutView="80" workbookViewId="0">
      <pane ySplit="7" topLeftCell="A8" activePane="bottomLeft" state="frozen"/>
      <selection pane="bottomLeft" activeCell="F28" sqref="F28"/>
    </sheetView>
  </sheetViews>
  <sheetFormatPr defaultColWidth="9" defaultRowHeight="15.5"/>
  <cols>
    <col min="1" max="1" width="9.75" style="14" customWidth="1"/>
    <col min="2" max="3" width="10.75" customWidth="1"/>
    <col min="4" max="4" width="8.83203125" customWidth="1"/>
    <col min="5" max="5" width="9.5" style="20" bestFit="1" customWidth="1"/>
    <col min="7" max="7" width="10.75" customWidth="1"/>
    <col min="8" max="8" width="8.75" style="26" customWidth="1"/>
    <col min="9" max="9" width="9.5" style="30" bestFit="1" customWidth="1"/>
    <col min="10" max="10" width="10.83203125" customWidth="1"/>
    <col min="11" max="11" width="11.08203125" customWidth="1"/>
    <col min="12" max="12" width="9.08203125" style="13" customWidth="1"/>
    <col min="13" max="13" width="10.5" style="13" customWidth="1"/>
    <col min="14" max="14" width="11.58203125" style="13" bestFit="1" customWidth="1"/>
    <col min="15" max="15" width="9" style="20" customWidth="1"/>
    <col min="16" max="16" width="11.08203125" style="20" customWidth="1"/>
    <col min="19" max="19" width="9.58203125" style="20" customWidth="1"/>
    <col min="20" max="20" width="10.9140625" style="36" customWidth="1"/>
    <col min="21" max="21" width="11.75" customWidth="1"/>
  </cols>
  <sheetData>
    <row r="1" spans="1:24" s="29" customFormat="1" ht="16.5" customHeight="1">
      <c r="A1" s="29" t="s">
        <v>45</v>
      </c>
      <c r="D1" s="29" t="s">
        <v>46</v>
      </c>
      <c r="H1" s="29" t="s">
        <v>47</v>
      </c>
      <c r="I1"/>
      <c r="J1"/>
      <c r="K1"/>
      <c r="M1" s="29" t="s">
        <v>48</v>
      </c>
      <c r="V1"/>
    </row>
    <row r="2" spans="1:24">
      <c r="A2" s="14" t="s">
        <v>29</v>
      </c>
      <c r="B2" s="31"/>
      <c r="C2" s="31"/>
      <c r="D2" s="31">
        <v>250</v>
      </c>
      <c r="E2" s="26"/>
      <c r="F2" s="31"/>
      <c r="G2" s="31"/>
      <c r="H2" s="31">
        <v>0.5</v>
      </c>
      <c r="I2" s="31"/>
      <c r="J2" s="31"/>
      <c r="K2" s="31"/>
      <c r="L2" s="32"/>
      <c r="M2" s="32">
        <v>900</v>
      </c>
      <c r="N2" s="32"/>
      <c r="O2" s="26"/>
      <c r="P2" s="26"/>
      <c r="Q2" s="31"/>
      <c r="R2" s="31"/>
      <c r="S2" s="31"/>
      <c r="T2" s="31"/>
    </row>
    <row r="3" spans="1:24">
      <c r="A3" s="14" t="s">
        <v>30</v>
      </c>
      <c r="B3" s="33"/>
      <c r="C3" s="33"/>
      <c r="D3" s="33">
        <v>150</v>
      </c>
      <c r="E3" s="34"/>
      <c r="F3" s="33"/>
      <c r="G3" s="33"/>
      <c r="H3" s="33">
        <v>0.5</v>
      </c>
      <c r="I3" s="33"/>
      <c r="J3" s="33"/>
      <c r="K3" s="33"/>
      <c r="L3" s="35"/>
      <c r="M3" s="35">
        <v>400</v>
      </c>
      <c r="N3" s="35"/>
      <c r="O3" s="34"/>
      <c r="P3" s="34"/>
      <c r="Q3" s="33"/>
      <c r="R3" s="33"/>
      <c r="S3" s="33"/>
      <c r="T3" s="33"/>
    </row>
    <row r="4" spans="1:24" s="29" customFormat="1" ht="30" customHeight="1">
      <c r="A4" s="29" t="s">
        <v>31</v>
      </c>
      <c r="D4" s="29" t="s">
        <v>39</v>
      </c>
      <c r="H4" s="29" t="s">
        <v>39</v>
      </c>
      <c r="I4"/>
      <c r="J4"/>
      <c r="K4"/>
      <c r="M4" s="29" t="s">
        <v>39</v>
      </c>
      <c r="V4"/>
      <c r="W4" s="42"/>
      <c r="X4" s="42"/>
    </row>
    <row r="5" spans="1:24">
      <c r="A5" s="14" t="s">
        <v>33</v>
      </c>
      <c r="B5" s="36"/>
      <c r="C5" s="36"/>
      <c r="D5" s="31" t="s">
        <v>42</v>
      </c>
      <c r="E5" s="38"/>
      <c r="F5" s="36"/>
      <c r="G5" s="36"/>
      <c r="H5" s="36" t="s">
        <v>41</v>
      </c>
      <c r="I5" s="36"/>
      <c r="J5" s="36"/>
      <c r="K5" s="36"/>
      <c r="L5" s="39"/>
      <c r="M5" s="39" t="s">
        <v>107</v>
      </c>
      <c r="N5" s="39"/>
      <c r="O5" s="38"/>
      <c r="P5" s="38"/>
      <c r="Q5" s="36"/>
      <c r="R5" s="36"/>
      <c r="S5" s="36"/>
      <c r="V5" t="s">
        <v>165</v>
      </c>
    </row>
    <row r="6" spans="1:24">
      <c r="A6" s="14" t="s">
        <v>32</v>
      </c>
      <c r="B6" s="37"/>
      <c r="C6" s="37"/>
      <c r="D6" s="37" t="s">
        <v>64</v>
      </c>
      <c r="E6" s="40"/>
      <c r="F6" s="37"/>
      <c r="G6" s="37"/>
      <c r="H6" s="37" t="s">
        <v>43</v>
      </c>
      <c r="I6" s="37"/>
      <c r="J6" s="37"/>
      <c r="K6" s="37"/>
      <c r="L6" s="41"/>
      <c r="M6" s="41" t="s">
        <v>108</v>
      </c>
      <c r="N6" s="41"/>
      <c r="O6" s="40"/>
      <c r="P6" s="40"/>
      <c r="Q6" s="37"/>
      <c r="R6" s="37"/>
      <c r="S6" s="37"/>
      <c r="T6" s="37"/>
    </row>
    <row r="7" spans="1:24" s="28" customFormat="1" ht="36" customHeight="1">
      <c r="A7" s="27"/>
      <c r="B7" s="48" t="s">
        <v>78</v>
      </c>
      <c r="C7" s="48" t="s">
        <v>79</v>
      </c>
      <c r="D7" s="49" t="s">
        <v>87</v>
      </c>
      <c r="E7" s="50" t="s">
        <v>80</v>
      </c>
      <c r="F7" s="51" t="s">
        <v>85</v>
      </c>
      <c r="G7" s="51" t="s">
        <v>86</v>
      </c>
      <c r="H7" s="51" t="s">
        <v>57</v>
      </c>
      <c r="I7" s="51" t="s">
        <v>88</v>
      </c>
      <c r="J7" s="51" t="s">
        <v>110</v>
      </c>
      <c r="K7" s="51" t="s">
        <v>81</v>
      </c>
      <c r="L7" s="52" t="s">
        <v>89</v>
      </c>
      <c r="M7" s="53" t="s">
        <v>106</v>
      </c>
      <c r="N7" s="49" t="s">
        <v>105</v>
      </c>
      <c r="O7" s="54" t="s">
        <v>84</v>
      </c>
      <c r="P7" s="55" t="s">
        <v>90</v>
      </c>
      <c r="Q7" s="49" t="s">
        <v>82</v>
      </c>
      <c r="R7" s="49" t="s">
        <v>83</v>
      </c>
      <c r="S7" s="50" t="s">
        <v>109</v>
      </c>
      <c r="T7" s="50" t="s">
        <v>111</v>
      </c>
      <c r="U7" s="47"/>
      <c r="V7" s="47"/>
    </row>
    <row r="8" spans="1:24">
      <c r="A8" s="14">
        <v>1</v>
      </c>
      <c r="B8">
        <v>113066</v>
      </c>
      <c r="C8" t="s">
        <v>118</v>
      </c>
      <c r="D8">
        <v>143.83799999999999</v>
      </c>
      <c r="E8" s="20">
        <v>2.9700000000000001E-2</v>
      </c>
      <c r="F8">
        <v>9.06</v>
      </c>
      <c r="G8">
        <v>144.04</v>
      </c>
      <c r="H8" s="26">
        <v>-1.4000000000000002E-3</v>
      </c>
      <c r="I8" s="30">
        <v>143.69800000000001</v>
      </c>
      <c r="J8" s="19">
        <v>45025</v>
      </c>
      <c r="K8" s="19">
        <v>47192</v>
      </c>
      <c r="L8" s="13">
        <v>5.0659999999999998</v>
      </c>
      <c r="M8" s="13">
        <v>1709.8979999999999</v>
      </c>
      <c r="N8" s="13">
        <v>385603.65500000003</v>
      </c>
      <c r="O8" s="20">
        <v>0.15678239761603088</v>
      </c>
      <c r="P8" s="20">
        <v>-5.0239000000000006E-2</v>
      </c>
      <c r="Q8">
        <v>144.791</v>
      </c>
      <c r="R8">
        <v>138.51</v>
      </c>
      <c r="S8" s="20">
        <v>4.534690636055163E-2</v>
      </c>
      <c r="T8" s="36" t="s">
        <v>119</v>
      </c>
    </row>
    <row r="9" spans="1:24">
      <c r="A9" s="14">
        <v>2</v>
      </c>
      <c r="B9">
        <v>127037</v>
      </c>
      <c r="C9" t="s">
        <v>91</v>
      </c>
      <c r="D9">
        <v>154</v>
      </c>
      <c r="E9" s="20">
        <v>7.1999999999999998E-3</v>
      </c>
      <c r="F9">
        <v>10.61</v>
      </c>
      <c r="G9">
        <v>153.44</v>
      </c>
      <c r="H9" s="26">
        <v>3.5999999999999999E-3</v>
      </c>
      <c r="I9" s="30">
        <v>154.36000000000001</v>
      </c>
      <c r="J9" s="19">
        <v>44385</v>
      </c>
      <c r="K9" s="19">
        <v>46544</v>
      </c>
      <c r="L9" s="13">
        <v>3.29</v>
      </c>
      <c r="M9" s="13">
        <v>667.46720000000005</v>
      </c>
      <c r="N9" s="13">
        <v>181178.727786</v>
      </c>
      <c r="O9" s="20">
        <v>0.17626113243671543</v>
      </c>
      <c r="P9" s="20">
        <v>-8.8140999999999997E-2</v>
      </c>
      <c r="Q9">
        <v>155.52000000000001</v>
      </c>
      <c r="R9">
        <v>149.45400000000001</v>
      </c>
      <c r="S9" s="20">
        <v>4.058773937131159E-2</v>
      </c>
      <c r="T9" s="36" t="s">
        <v>74</v>
      </c>
    </row>
    <row r="10" spans="1:24">
      <c r="A10" s="14">
        <v>3</v>
      </c>
      <c r="B10" s="57">
        <v>128106</v>
      </c>
      <c r="C10" t="s">
        <v>93</v>
      </c>
      <c r="D10">
        <v>203.9</v>
      </c>
      <c r="E10" s="20">
        <v>3.8199999999999998E-2</v>
      </c>
      <c r="F10">
        <v>8.82</v>
      </c>
      <c r="G10">
        <v>199.43</v>
      </c>
      <c r="H10" s="26">
        <v>2.2400000000000003E-2</v>
      </c>
      <c r="I10" s="30">
        <v>206.14000000000001</v>
      </c>
      <c r="J10" s="19">
        <v>43958</v>
      </c>
      <c r="K10" s="19">
        <v>46121</v>
      </c>
      <c r="L10" s="13">
        <v>2.1320000000000001</v>
      </c>
      <c r="M10" s="13">
        <v>254.55850000000001</v>
      </c>
      <c r="N10" s="13">
        <v>290192.64831000002</v>
      </c>
      <c r="O10" s="20">
        <v>0.55908981007643566</v>
      </c>
      <c r="P10" s="20">
        <v>-0.2505</v>
      </c>
      <c r="Q10">
        <v>203.9</v>
      </c>
      <c r="R10">
        <v>195.001</v>
      </c>
      <c r="S10" s="20">
        <v>4.5635663406854328E-2</v>
      </c>
      <c r="T10" s="36" t="s">
        <v>73</v>
      </c>
    </row>
    <row r="11" spans="1:24">
      <c r="A11" s="14">
        <v>4</v>
      </c>
      <c r="B11">
        <v>123092</v>
      </c>
      <c r="C11" t="s">
        <v>94</v>
      </c>
      <c r="D11">
        <v>142.61699999999999</v>
      </c>
      <c r="E11" s="20">
        <v>-9.5999999999999992E-3</v>
      </c>
      <c r="F11">
        <v>5.04</v>
      </c>
      <c r="G11">
        <v>138.1</v>
      </c>
      <c r="H11" s="26">
        <v>3.27E-2</v>
      </c>
      <c r="I11" s="30">
        <v>145.887</v>
      </c>
      <c r="J11" s="19">
        <v>44210</v>
      </c>
      <c r="K11" s="19">
        <v>46379</v>
      </c>
      <c r="L11" s="13">
        <v>2.8380000000000001</v>
      </c>
      <c r="M11" s="13">
        <v>398.8193</v>
      </c>
      <c r="N11" s="13">
        <v>47880.206490000004</v>
      </c>
      <c r="O11" s="20">
        <v>8.4179928228308332E-2</v>
      </c>
      <c r="P11" s="20">
        <v>-6.2195E-2</v>
      </c>
      <c r="Q11">
        <v>144.80000000000001</v>
      </c>
      <c r="R11">
        <v>141.52799999999999</v>
      </c>
      <c r="S11" s="20">
        <v>2.3119100107399385E-2</v>
      </c>
      <c r="T11" s="36" t="s">
        <v>72</v>
      </c>
    </row>
    <row r="12" spans="1:24">
      <c r="A12" s="14">
        <v>5</v>
      </c>
      <c r="B12">
        <v>113648</v>
      </c>
      <c r="C12" t="s">
        <v>92</v>
      </c>
      <c r="D12">
        <v>136.93700000000001</v>
      </c>
      <c r="E12" s="20">
        <v>3.4099999999999998E-2</v>
      </c>
      <c r="F12">
        <v>25.21</v>
      </c>
      <c r="G12">
        <v>132.49</v>
      </c>
      <c r="H12" s="26">
        <v>3.3599999999999998E-2</v>
      </c>
      <c r="I12" s="30">
        <v>140.29700000000003</v>
      </c>
      <c r="J12" s="19">
        <v>44697</v>
      </c>
      <c r="K12" s="19">
        <v>46867</v>
      </c>
      <c r="L12" s="13">
        <v>4.1749999999999998</v>
      </c>
      <c r="M12" s="13">
        <v>907.36400000000003</v>
      </c>
      <c r="N12" s="13">
        <v>126273.62699999999</v>
      </c>
      <c r="O12" s="20">
        <v>0.10162727984068003</v>
      </c>
      <c r="P12" s="20">
        <v>-3.5720000000000002E-2</v>
      </c>
      <c r="Q12">
        <v>137.42500000000001</v>
      </c>
      <c r="R12">
        <v>130.941</v>
      </c>
      <c r="S12" s="20">
        <v>4.9518485424733347E-2</v>
      </c>
      <c r="T12" s="36" t="s">
        <v>112</v>
      </c>
    </row>
    <row r="13" spans="1:24">
      <c r="A13" s="14">
        <v>6</v>
      </c>
      <c r="B13">
        <v>111007</v>
      </c>
      <c r="C13" t="s">
        <v>97</v>
      </c>
      <c r="D13">
        <v>138.65899999999999</v>
      </c>
      <c r="E13" s="20">
        <v>6.25E-2</v>
      </c>
      <c r="F13">
        <v>23.83</v>
      </c>
      <c r="G13">
        <v>132.13999999999999</v>
      </c>
      <c r="H13" s="26">
        <v>4.9299999999999997E-2</v>
      </c>
      <c r="I13" s="30">
        <v>143.589</v>
      </c>
      <c r="J13" s="19">
        <v>44865</v>
      </c>
      <c r="K13" s="19">
        <v>47036</v>
      </c>
      <c r="L13" s="13">
        <v>4.6379999999999999</v>
      </c>
      <c r="M13" s="13">
        <v>799.51099999999997</v>
      </c>
      <c r="N13" s="13">
        <v>574572.15399999998</v>
      </c>
      <c r="O13" s="20">
        <v>0.51828909053492012</v>
      </c>
      <c r="P13" s="20">
        <v>-3.1192000000000001E-2</v>
      </c>
      <c r="Q13">
        <v>139.69999999999999</v>
      </c>
      <c r="R13">
        <v>128.91999999999999</v>
      </c>
      <c r="S13" s="20">
        <v>8.361774744027306E-2</v>
      </c>
      <c r="T13" s="36" t="s">
        <v>115</v>
      </c>
    </row>
    <row r="14" spans="1:24">
      <c r="A14" s="14">
        <v>7</v>
      </c>
      <c r="B14">
        <v>127014</v>
      </c>
      <c r="C14" t="s">
        <v>95</v>
      </c>
      <c r="D14">
        <v>148.05000000000001</v>
      </c>
      <c r="E14" s="20">
        <v>1.26E-2</v>
      </c>
      <c r="F14">
        <v>7.74</v>
      </c>
      <c r="G14">
        <v>136.05000000000001</v>
      </c>
      <c r="H14" s="26">
        <v>8.8200000000000001E-2</v>
      </c>
      <c r="I14" s="30">
        <v>156.87</v>
      </c>
      <c r="J14" s="19">
        <v>43789</v>
      </c>
      <c r="K14" s="19">
        <v>45953</v>
      </c>
      <c r="L14" s="13">
        <v>1.671</v>
      </c>
      <c r="M14" s="13">
        <v>532.13419999999996</v>
      </c>
      <c r="N14" s="13">
        <v>188607.80926800001</v>
      </c>
      <c r="O14" s="20">
        <v>0.23940327501018357</v>
      </c>
      <c r="P14" s="20">
        <v>-0.15571699999999999</v>
      </c>
      <c r="Q14">
        <v>148.51900000000001</v>
      </c>
      <c r="R14">
        <v>144.03</v>
      </c>
      <c r="S14" s="20">
        <v>3.1167117961535821E-2</v>
      </c>
      <c r="T14" s="36" t="s">
        <v>113</v>
      </c>
    </row>
    <row r="15" spans="1:24">
      <c r="A15" s="14">
        <v>8</v>
      </c>
      <c r="B15">
        <v>118019</v>
      </c>
      <c r="C15" t="s">
        <v>99</v>
      </c>
      <c r="D15">
        <v>129.78</v>
      </c>
      <c r="E15" s="20">
        <v>2.5000000000000001E-3</v>
      </c>
      <c r="F15">
        <v>34.450000000000003</v>
      </c>
      <c r="G15">
        <v>119.13</v>
      </c>
      <c r="H15" s="26">
        <v>8.9399999999999993E-2</v>
      </c>
      <c r="I15" s="30">
        <v>138.72</v>
      </c>
      <c r="J15" s="19">
        <v>44846</v>
      </c>
      <c r="K15" s="19">
        <v>47011</v>
      </c>
      <c r="L15" s="13">
        <v>4.57</v>
      </c>
      <c r="M15" s="13">
        <v>976.63599999999997</v>
      </c>
      <c r="N15" s="13">
        <v>109283.527</v>
      </c>
      <c r="O15" s="20">
        <v>8.6221228050330986E-2</v>
      </c>
      <c r="P15" s="20">
        <v>-2.6947000000000002E-2</v>
      </c>
      <c r="Q15">
        <v>130.29499999999999</v>
      </c>
      <c r="R15">
        <v>127.4</v>
      </c>
      <c r="S15" s="20">
        <v>2.2723704866561865E-2</v>
      </c>
      <c r="T15" s="36" t="s">
        <v>117</v>
      </c>
    </row>
    <row r="16" spans="1:24">
      <c r="A16" s="14">
        <v>9</v>
      </c>
      <c r="B16">
        <v>123127</v>
      </c>
      <c r="C16" t="s">
        <v>96</v>
      </c>
      <c r="D16">
        <v>130.65199999999999</v>
      </c>
      <c r="E16" s="20">
        <v>3.7000000000000002E-3</v>
      </c>
      <c r="F16">
        <v>24.4</v>
      </c>
      <c r="G16">
        <v>119.22</v>
      </c>
      <c r="H16" s="26">
        <v>9.5899999999999999E-2</v>
      </c>
      <c r="I16" s="30">
        <v>140.24199999999999</v>
      </c>
      <c r="J16" s="19">
        <v>44518</v>
      </c>
      <c r="K16" s="19">
        <v>46688</v>
      </c>
      <c r="L16" s="13">
        <v>3.6850000000000001</v>
      </c>
      <c r="M16" s="13">
        <v>399.67689999999999</v>
      </c>
      <c r="N16" s="13">
        <v>52555.151310000001</v>
      </c>
      <c r="O16" s="20">
        <v>0.100644530989438</v>
      </c>
      <c r="P16" s="20">
        <v>-3.4259999999999999E-2</v>
      </c>
      <c r="Q16">
        <v>131.6</v>
      </c>
      <c r="R16">
        <v>129.22999999999999</v>
      </c>
      <c r="S16" s="20">
        <v>1.8339394877350496E-2</v>
      </c>
      <c r="T16" s="36" t="s">
        <v>114</v>
      </c>
    </row>
    <row r="17" spans="1:20">
      <c r="A17" s="14">
        <v>10</v>
      </c>
      <c r="B17">
        <v>127032</v>
      </c>
      <c r="C17" t="s">
        <v>120</v>
      </c>
      <c r="D17">
        <v>119.06</v>
      </c>
      <c r="E17" s="20">
        <v>1.15E-2</v>
      </c>
      <c r="F17">
        <v>6.78</v>
      </c>
      <c r="G17">
        <v>108.11</v>
      </c>
      <c r="H17" s="26">
        <v>0.1013</v>
      </c>
      <c r="I17" s="30">
        <v>129.19</v>
      </c>
      <c r="J17" s="19">
        <v>44327</v>
      </c>
      <c r="K17" s="19">
        <v>46488</v>
      </c>
      <c r="L17" s="13">
        <v>3.137</v>
      </c>
      <c r="M17" s="13">
        <v>4999.4684999999999</v>
      </c>
      <c r="N17" s="13">
        <v>130658.14801199999</v>
      </c>
      <c r="O17" s="20">
        <v>2.195061959510956E-2</v>
      </c>
      <c r="P17" s="20">
        <v>-1.2637000000000001E-2</v>
      </c>
      <c r="Q17">
        <v>120.15600000000001</v>
      </c>
      <c r="R17">
        <v>117.401</v>
      </c>
      <c r="S17" s="20">
        <v>2.3466580352807982E-2</v>
      </c>
      <c r="T17" s="36" t="s">
        <v>121</v>
      </c>
    </row>
    <row r="18" spans="1:20">
      <c r="A18" s="14">
        <v>11</v>
      </c>
      <c r="B18" s="57">
        <v>110055</v>
      </c>
      <c r="C18" t="s">
        <v>98</v>
      </c>
      <c r="D18">
        <v>139.66200000000001</v>
      </c>
      <c r="E18" s="20">
        <v>-2.2000000000000001E-3</v>
      </c>
      <c r="F18">
        <v>15.59</v>
      </c>
      <c r="G18">
        <v>126.3</v>
      </c>
      <c r="H18" s="26">
        <v>0.10580000000000001</v>
      </c>
      <c r="I18" s="30">
        <v>150.24200000000002</v>
      </c>
      <c r="J18" s="19">
        <v>43558</v>
      </c>
      <c r="K18" s="19">
        <v>45730</v>
      </c>
      <c r="L18" s="13">
        <v>1.06</v>
      </c>
      <c r="M18" s="13">
        <v>243.215</v>
      </c>
      <c r="N18" s="13">
        <v>34551.571000000004</v>
      </c>
      <c r="O18" s="20">
        <v>0.10171832166431265</v>
      </c>
      <c r="P18" s="20">
        <v>-0.191216</v>
      </c>
      <c r="Q18">
        <v>140.25</v>
      </c>
      <c r="R18">
        <v>138.41499999999999</v>
      </c>
      <c r="S18" s="20">
        <v>1.3257233681320724E-2</v>
      </c>
      <c r="T18" s="36" t="s">
        <v>116</v>
      </c>
    </row>
    <row r="19" spans="1:20">
      <c r="A19" s="14">
        <v>12</v>
      </c>
      <c r="B19">
        <v>128081</v>
      </c>
      <c r="C19" t="s">
        <v>166</v>
      </c>
      <c r="D19">
        <v>115.5</v>
      </c>
      <c r="E19" s="20">
        <v>-4.1999999999999997E-3</v>
      </c>
      <c r="F19">
        <v>9.5399999999999991</v>
      </c>
      <c r="G19">
        <v>98.32</v>
      </c>
      <c r="H19" s="26">
        <v>0.17469999999999999</v>
      </c>
      <c r="I19" s="30">
        <v>132.97</v>
      </c>
      <c r="J19" s="19">
        <v>43814</v>
      </c>
      <c r="K19" s="19">
        <v>45981</v>
      </c>
      <c r="L19" s="13">
        <v>1.748</v>
      </c>
      <c r="M19" s="13">
        <v>2702.3721999999993</v>
      </c>
      <c r="N19" s="13">
        <v>98626.661098000011</v>
      </c>
      <c r="O19" s="20">
        <v>3.1598552031321593E-2</v>
      </c>
      <c r="P19" s="20">
        <v>-1.8593999999999999E-2</v>
      </c>
      <c r="Q19">
        <v>115.866</v>
      </c>
      <c r="R19">
        <v>113.617</v>
      </c>
      <c r="S19" s="20">
        <v>1.9794572995238346E-2</v>
      </c>
      <c r="T19" s="36" t="s">
        <v>167</v>
      </c>
    </row>
    <row r="20" spans="1:20">
      <c r="A20" s="14">
        <v>13</v>
      </c>
      <c r="B20" s="57">
        <v>123236</v>
      </c>
      <c r="C20" t="s">
        <v>122</v>
      </c>
      <c r="D20">
        <v>120.348</v>
      </c>
      <c r="E20" s="20">
        <v>8.8000000000000005E-3</v>
      </c>
      <c r="F20">
        <v>18.690000000000001</v>
      </c>
      <c r="G20">
        <v>86.09</v>
      </c>
      <c r="H20" s="26">
        <v>0.39789999999999998</v>
      </c>
      <c r="I20" s="30">
        <v>160.13800000000001</v>
      </c>
      <c r="J20" s="19">
        <v>45308</v>
      </c>
      <c r="K20" s="19">
        <v>47473</v>
      </c>
      <c r="L20" s="13">
        <v>5.8360000000000003</v>
      </c>
      <c r="M20" s="13">
        <v>750</v>
      </c>
      <c r="N20" s="13">
        <v>122162.381184</v>
      </c>
      <c r="O20" s="20">
        <v>0.13534348299265464</v>
      </c>
      <c r="P20" s="20">
        <v>-7.9299999999999998E-4</v>
      </c>
      <c r="Q20">
        <v>121.5</v>
      </c>
      <c r="R20">
        <v>117</v>
      </c>
      <c r="S20" s="20">
        <v>3.8461538461538464E-2</v>
      </c>
      <c r="T20" s="36" t="s">
        <v>123</v>
      </c>
    </row>
    <row r="21" spans="1:20">
      <c r="A21" s="14">
        <v>14</v>
      </c>
      <c r="B21" s="57">
        <v>127101</v>
      </c>
      <c r="C21" t="s">
        <v>124</v>
      </c>
      <c r="D21">
        <v>105.26</v>
      </c>
      <c r="E21" s="20">
        <v>1.6000000000000001E-3</v>
      </c>
      <c r="F21">
        <v>50.65</v>
      </c>
      <c r="G21">
        <v>66.89</v>
      </c>
      <c r="H21" s="26">
        <v>0.5736</v>
      </c>
      <c r="I21" s="30">
        <v>162.62</v>
      </c>
      <c r="J21" s="19">
        <v>45301</v>
      </c>
      <c r="K21" s="19">
        <v>47473</v>
      </c>
      <c r="L21" s="13">
        <v>5.8360000000000003</v>
      </c>
      <c r="M21" s="13">
        <v>1100</v>
      </c>
      <c r="N21" s="13">
        <v>32045.163868</v>
      </c>
      <c r="O21" s="20">
        <v>2.7676199081063339E-2</v>
      </c>
      <c r="P21" s="20">
        <v>1.8900999999999998E-2</v>
      </c>
      <c r="Q21">
        <v>105.29</v>
      </c>
      <c r="R21">
        <v>103.87</v>
      </c>
      <c r="S21" s="20">
        <v>1.3670934822374137E-2</v>
      </c>
      <c r="T21" s="36" t="s">
        <v>125</v>
      </c>
    </row>
    <row r="22" spans="1:20">
      <c r="A22" s="14">
        <v>15</v>
      </c>
      <c r="B22" s="57">
        <v>127091</v>
      </c>
      <c r="C22" t="s">
        <v>126</v>
      </c>
      <c r="D22">
        <v>108.39100000000001</v>
      </c>
      <c r="E22" s="20">
        <v>-1.46E-2</v>
      </c>
      <c r="F22">
        <v>34.67</v>
      </c>
      <c r="G22">
        <v>63.63</v>
      </c>
      <c r="H22" s="26">
        <v>0.7034999999999999</v>
      </c>
      <c r="I22" s="30">
        <v>178.74099999999999</v>
      </c>
      <c r="J22" s="19">
        <v>45180</v>
      </c>
      <c r="K22" s="19">
        <v>47352</v>
      </c>
      <c r="L22" s="13">
        <v>5.5039999999999996</v>
      </c>
      <c r="M22" s="13">
        <v>1492.068</v>
      </c>
      <c r="N22" s="13">
        <v>44621.922313000003</v>
      </c>
      <c r="O22" s="20">
        <v>2.7590936167356479E-2</v>
      </c>
      <c r="P22" s="20">
        <v>1.2785999999999999E-2</v>
      </c>
      <c r="Q22">
        <v>110.108</v>
      </c>
      <c r="R22">
        <v>107.259</v>
      </c>
      <c r="S22" s="20">
        <v>2.6561873595688974E-2</v>
      </c>
      <c r="T22" s="36" t="s">
        <v>127</v>
      </c>
    </row>
    <row r="23" spans="1:20">
      <c r="A23" s="14">
        <v>16</v>
      </c>
      <c r="B23" s="57">
        <v>113665</v>
      </c>
      <c r="C23" t="s">
        <v>130</v>
      </c>
      <c r="D23">
        <v>96.8</v>
      </c>
      <c r="E23" s="20">
        <v>5.6000000000000008E-3</v>
      </c>
      <c r="F23">
        <v>8.2100000000000009</v>
      </c>
      <c r="G23">
        <v>50.06</v>
      </c>
      <c r="H23" s="26">
        <v>0.93370000000000009</v>
      </c>
      <c r="I23" s="30">
        <v>190.17000000000002</v>
      </c>
      <c r="J23" s="19">
        <v>44936</v>
      </c>
      <c r="K23" s="19">
        <v>47101</v>
      </c>
      <c r="L23" s="13">
        <v>4.8159999999999998</v>
      </c>
      <c r="M23" s="13">
        <v>359.99099999999999</v>
      </c>
      <c r="N23" s="13">
        <v>20772.385999999999</v>
      </c>
      <c r="O23" s="20">
        <v>5.9610035935012233E-2</v>
      </c>
      <c r="P23" s="20">
        <v>4.6460000000000001E-2</v>
      </c>
      <c r="Q23">
        <v>97.126999999999995</v>
      </c>
      <c r="R23">
        <v>96.263000000000005</v>
      </c>
      <c r="S23" s="20">
        <v>8.9754111133040736E-3</v>
      </c>
      <c r="T23" s="36" t="s">
        <v>131</v>
      </c>
    </row>
    <row r="24" spans="1:20">
      <c r="A24" s="14">
        <v>17</v>
      </c>
      <c r="B24" s="57">
        <v>118035</v>
      </c>
      <c r="C24" t="s">
        <v>128</v>
      </c>
      <c r="D24">
        <v>102.956</v>
      </c>
      <c r="E24" s="20">
        <v>3.8E-3</v>
      </c>
      <c r="F24">
        <v>62.79</v>
      </c>
      <c r="G24">
        <v>52.84</v>
      </c>
      <c r="H24" s="26">
        <v>0.94840000000000002</v>
      </c>
      <c r="I24" s="30">
        <v>197.79599999999999</v>
      </c>
      <c r="J24" s="19">
        <v>45112</v>
      </c>
      <c r="K24" s="19">
        <v>47280</v>
      </c>
      <c r="L24" s="13">
        <v>5.3070000000000004</v>
      </c>
      <c r="M24" s="13">
        <v>479.98200000000003</v>
      </c>
      <c r="N24" s="13">
        <v>17784.313999999998</v>
      </c>
      <c r="O24" s="20">
        <v>3.598823149530124E-2</v>
      </c>
      <c r="P24" s="20">
        <v>2.9996000000000002E-2</v>
      </c>
      <c r="Q24">
        <v>103.265</v>
      </c>
      <c r="R24">
        <v>101.916</v>
      </c>
      <c r="S24" s="20">
        <v>1.3236390753169314E-2</v>
      </c>
      <c r="T24" s="36" t="s">
        <v>129</v>
      </c>
    </row>
    <row r="25" spans="1:20">
      <c r="A25" s="14">
        <v>18</v>
      </c>
      <c r="B25" s="57">
        <v>127089</v>
      </c>
      <c r="C25" t="s">
        <v>132</v>
      </c>
      <c r="D25">
        <v>102.35</v>
      </c>
      <c r="E25" s="20">
        <v>1E-4</v>
      </c>
      <c r="F25">
        <v>38.74</v>
      </c>
      <c r="G25">
        <v>45.25</v>
      </c>
      <c r="H25" s="26">
        <v>1.2619</v>
      </c>
      <c r="I25" s="30">
        <v>228.54</v>
      </c>
      <c r="J25" s="19">
        <v>45141</v>
      </c>
      <c r="K25" s="19">
        <v>47316</v>
      </c>
      <c r="L25" s="13">
        <v>5.4050000000000002</v>
      </c>
      <c r="M25" s="13">
        <v>8959.8986000000004</v>
      </c>
      <c r="N25" s="13">
        <v>40724.960058999997</v>
      </c>
      <c r="O25" s="20">
        <v>4.4408870283967799E-3</v>
      </c>
      <c r="P25" s="20">
        <v>1.7917000000000002E-2</v>
      </c>
      <c r="Q25">
        <v>102.398</v>
      </c>
      <c r="R25">
        <v>102.11499999999999</v>
      </c>
      <c r="S25" s="20">
        <v>2.7713852029574624E-3</v>
      </c>
      <c r="T25" s="36" t="s">
        <v>133</v>
      </c>
    </row>
  </sheetData>
  <autoFilter ref="A7:U25" xr:uid="{00000000-0009-0000-0000-000001000000}">
    <sortState xmlns:xlrd2="http://schemas.microsoft.com/office/spreadsheetml/2017/richdata2" ref="A8:U25">
      <sortCondition ref="H7:H25"/>
    </sortState>
  </autoFilter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fresh_convertible_bond">
                <anchor moveWithCells="1" sizeWithCells="1">
                  <from>
                    <xdr:col>22</xdr:col>
                    <xdr:colOff>190500</xdr:colOff>
                    <xdr:row>3</xdr:row>
                    <xdr:rowOff>12700</xdr:rowOff>
                  </from>
                  <to>
                    <xdr:col>23</xdr:col>
                    <xdr:colOff>495300</xdr:colOff>
                    <xdr:row>3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788C9-3144-43F2-A323-C40C849C7726}">
  <sheetPr codeName="Sheet4"/>
  <dimension ref="A1:W25"/>
  <sheetViews>
    <sheetView tabSelected="1" zoomScaleNormal="100" zoomScaleSheetLayoutView="80" workbookViewId="0">
      <pane ySplit="7" topLeftCell="A8" activePane="bottomLeft" state="frozen"/>
      <selection pane="bottomLeft" activeCell="D19" sqref="D19"/>
    </sheetView>
  </sheetViews>
  <sheetFormatPr defaultColWidth="9" defaultRowHeight="15.5"/>
  <cols>
    <col min="1" max="1" width="9.75" style="14" customWidth="1"/>
    <col min="2" max="3" width="10.75" customWidth="1"/>
    <col min="4" max="4" width="8.83203125" customWidth="1"/>
    <col min="5" max="5" width="10.9140625" style="64" customWidth="1"/>
    <col min="6" max="6" width="9" style="71"/>
    <col min="7" max="7" width="10.75" customWidth="1"/>
    <col min="8" max="8" width="8.75" style="26" customWidth="1"/>
    <col min="9" max="9" width="9.5" style="30" bestFit="1" customWidth="1"/>
    <col min="10" max="10" width="11.08203125" customWidth="1"/>
    <col min="11" max="12" width="9.08203125" style="13" customWidth="1"/>
    <col min="13" max="13" width="11.58203125" style="13" bestFit="1" customWidth="1"/>
    <col min="14" max="14" width="9" style="20" customWidth="1"/>
    <col min="15" max="15" width="11.75" customWidth="1"/>
    <col min="17" max="18" width="9" style="64"/>
    <col min="19" max="19" width="10.08203125" style="62" customWidth="1"/>
    <col min="20" max="20" width="9.9140625" style="37" customWidth="1"/>
  </cols>
  <sheetData>
    <row r="1" spans="1:23" s="29" customFormat="1" ht="16.5" customHeight="1">
      <c r="A1" s="29" t="s">
        <v>45</v>
      </c>
      <c r="D1" s="29" t="s">
        <v>46</v>
      </c>
      <c r="E1" s="59"/>
      <c r="F1" s="65"/>
      <c r="H1" s="29" t="s">
        <v>46</v>
      </c>
      <c r="I1"/>
      <c r="J1"/>
      <c r="K1" s="29" t="s">
        <v>162</v>
      </c>
      <c r="L1" s="72" t="s">
        <v>163</v>
      </c>
      <c r="Q1" s="59"/>
      <c r="R1" s="59"/>
      <c r="S1" s="59"/>
      <c r="U1"/>
    </row>
    <row r="2" spans="1:23">
      <c r="A2" s="14" t="s">
        <v>29</v>
      </c>
      <c r="B2" s="31"/>
      <c r="C2" s="31"/>
      <c r="D2" s="31">
        <v>250</v>
      </c>
      <c r="E2" s="60"/>
      <c r="F2" s="66"/>
      <c r="G2" s="31"/>
      <c r="H2" s="31">
        <v>0.5</v>
      </c>
      <c r="I2" s="31"/>
      <c r="J2" s="31"/>
      <c r="K2" s="73">
        <v>2.4380000000000002</v>
      </c>
      <c r="L2" s="32">
        <v>9</v>
      </c>
      <c r="M2" s="32"/>
      <c r="N2" s="26"/>
      <c r="O2" s="31"/>
      <c r="P2" s="31"/>
      <c r="Q2" s="60"/>
      <c r="R2" s="60"/>
      <c r="S2" s="60"/>
      <c r="T2" s="31"/>
    </row>
    <row r="3" spans="1:23">
      <c r="A3" s="14" t="s">
        <v>30</v>
      </c>
      <c r="B3" s="33"/>
      <c r="C3" s="33"/>
      <c r="D3" s="33">
        <v>150</v>
      </c>
      <c r="E3" s="61"/>
      <c r="F3" s="67"/>
      <c r="G3" s="33"/>
      <c r="H3" s="33">
        <v>0.5</v>
      </c>
      <c r="I3" s="33"/>
      <c r="J3" s="33"/>
      <c r="K3" s="35"/>
      <c r="L3" s="35">
        <v>4</v>
      </c>
      <c r="M3" s="35"/>
      <c r="N3" s="34"/>
      <c r="O3" s="33"/>
      <c r="P3" s="33"/>
      <c r="Q3" s="61"/>
      <c r="R3" s="61"/>
      <c r="S3" s="61"/>
      <c r="T3" s="33"/>
    </row>
    <row r="4" spans="1:23" s="29" customFormat="1" ht="30" customHeight="1">
      <c r="A4" s="29" t="s">
        <v>31</v>
      </c>
      <c r="D4" s="29" t="s">
        <v>39</v>
      </c>
      <c r="E4" s="59"/>
      <c r="F4" s="65"/>
      <c r="H4" s="29" t="s">
        <v>39</v>
      </c>
      <c r="I4"/>
      <c r="J4"/>
      <c r="L4" s="29" t="s">
        <v>39</v>
      </c>
      <c r="Q4" s="59"/>
      <c r="R4" s="59"/>
      <c r="S4" s="59"/>
      <c r="U4"/>
      <c r="V4" s="42"/>
      <c r="W4" s="42"/>
    </row>
    <row r="5" spans="1:23">
      <c r="A5" s="14" t="s">
        <v>33</v>
      </c>
      <c r="B5" s="36"/>
      <c r="C5" s="36"/>
      <c r="D5" s="31" t="s">
        <v>42</v>
      </c>
      <c r="E5" s="62"/>
      <c r="F5" s="68"/>
      <c r="G5" s="36"/>
      <c r="H5" s="36" t="s">
        <v>41</v>
      </c>
      <c r="I5" s="36"/>
      <c r="J5" s="36"/>
      <c r="K5" s="39"/>
      <c r="L5" s="39" t="s">
        <v>40</v>
      </c>
      <c r="M5" s="39"/>
      <c r="N5" s="38"/>
      <c r="O5" s="36"/>
      <c r="P5" s="36"/>
      <c r="Q5" s="62"/>
      <c r="R5" s="62"/>
      <c r="T5" s="36"/>
      <c r="V5" t="s">
        <v>75</v>
      </c>
    </row>
    <row r="6" spans="1:23">
      <c r="A6" s="14" t="s">
        <v>32</v>
      </c>
      <c r="B6" s="37"/>
      <c r="C6" s="37"/>
      <c r="D6" s="37" t="s">
        <v>64</v>
      </c>
      <c r="E6" s="63"/>
      <c r="F6" s="69"/>
      <c r="G6" s="37"/>
      <c r="H6" s="37" t="s">
        <v>43</v>
      </c>
      <c r="I6" s="37"/>
      <c r="J6" s="37"/>
      <c r="K6" s="41"/>
      <c r="L6" s="41" t="s">
        <v>44</v>
      </c>
      <c r="M6" s="41"/>
      <c r="N6" s="40"/>
      <c r="O6" s="37"/>
      <c r="P6" s="37"/>
      <c r="Q6" s="63"/>
      <c r="R6" s="63"/>
      <c r="S6" s="63"/>
    </row>
    <row r="7" spans="1:23" s="28" customFormat="1" ht="36" customHeight="1">
      <c r="A7" s="27"/>
      <c r="B7" s="48" t="s">
        <v>111</v>
      </c>
      <c r="C7" s="48" t="s">
        <v>87</v>
      </c>
      <c r="D7" s="49" t="s">
        <v>85</v>
      </c>
      <c r="E7" s="58" t="s">
        <v>86</v>
      </c>
      <c r="F7" s="70" t="s">
        <v>57</v>
      </c>
      <c r="G7" s="51" t="s">
        <v>89</v>
      </c>
      <c r="H7" s="49" t="s">
        <v>79</v>
      </c>
      <c r="I7" s="54" t="s">
        <v>143</v>
      </c>
      <c r="J7" s="55" t="s">
        <v>134</v>
      </c>
      <c r="K7" s="49" t="s">
        <v>135</v>
      </c>
      <c r="L7" s="49" t="s">
        <v>136</v>
      </c>
      <c r="M7" s="50" t="s">
        <v>137</v>
      </c>
      <c r="N7" s="50" t="s">
        <v>138</v>
      </c>
      <c r="O7" s="51" t="s">
        <v>164</v>
      </c>
      <c r="P7" s="75" t="s">
        <v>140</v>
      </c>
      <c r="Q7" s="76" t="s">
        <v>139</v>
      </c>
      <c r="R7" s="76" t="s">
        <v>161</v>
      </c>
      <c r="S7" s="76" t="s">
        <v>141</v>
      </c>
      <c r="T7" s="75" t="s">
        <v>142</v>
      </c>
      <c r="U7" s="56"/>
      <c r="V7" s="47"/>
    </row>
    <row r="8" spans="1:23">
      <c r="A8" s="14">
        <v>1</v>
      </c>
      <c r="B8" t="s">
        <v>119</v>
      </c>
      <c r="C8" s="36">
        <v>143.83799999999999</v>
      </c>
      <c r="D8">
        <v>9.06</v>
      </c>
      <c r="E8" s="64">
        <v>144.04</v>
      </c>
      <c r="F8" s="71">
        <v>-1.4000000000000002E-3</v>
      </c>
      <c r="G8">
        <v>5.0659999999999998</v>
      </c>
      <c r="H8" s="26" t="s">
        <v>144</v>
      </c>
      <c r="I8" s="30">
        <v>13.05</v>
      </c>
      <c r="J8" s="64">
        <v>6.5819999999999999</v>
      </c>
      <c r="K8" s="74">
        <v>2.4380000000000002</v>
      </c>
      <c r="L8" s="64">
        <v>33.82</v>
      </c>
      <c r="M8" s="77">
        <v>0.58420782254184433</v>
      </c>
      <c r="N8" s="77">
        <v>-0.17700517645383759</v>
      </c>
      <c r="O8">
        <v>93.69</v>
      </c>
      <c r="P8">
        <v>5.75</v>
      </c>
      <c r="Q8" s="64">
        <v>10.67</v>
      </c>
      <c r="R8" s="64">
        <v>5.9608231843698718</v>
      </c>
      <c r="S8" s="62">
        <v>93.69</v>
      </c>
      <c r="T8" s="69">
        <v>3.3194577863165708E-2</v>
      </c>
    </row>
    <row r="9" spans="1:23">
      <c r="A9" s="14">
        <v>2</v>
      </c>
      <c r="B9" t="s">
        <v>74</v>
      </c>
      <c r="C9" s="36">
        <v>154</v>
      </c>
      <c r="D9">
        <v>10.61</v>
      </c>
      <c r="E9" s="64">
        <v>153.44</v>
      </c>
      <c r="F9" s="71">
        <v>3.5999999999999999E-3</v>
      </c>
      <c r="G9">
        <v>3.29</v>
      </c>
      <c r="H9" s="26" t="s">
        <v>145</v>
      </c>
      <c r="I9" s="30">
        <v>16.28</v>
      </c>
      <c r="J9" s="64">
        <v>0.49099999999999999</v>
      </c>
      <c r="K9" s="74">
        <v>2.4380000000000002</v>
      </c>
      <c r="L9" s="64">
        <v>45.59</v>
      </c>
      <c r="M9" s="77">
        <v>1.0086751454045657</v>
      </c>
      <c r="N9" s="77">
        <v>0.18174744306294022</v>
      </c>
      <c r="O9">
        <v>96.19</v>
      </c>
      <c r="P9">
        <v>27.12</v>
      </c>
      <c r="Q9" s="64">
        <v>50.36</v>
      </c>
      <c r="R9" s="64">
        <v>8.1289037388389431</v>
      </c>
      <c r="S9" s="62">
        <v>96.19</v>
      </c>
      <c r="T9" s="69">
        <v>6.4039920989707788E-2</v>
      </c>
    </row>
    <row r="10" spans="1:23">
      <c r="A10" s="14">
        <v>3</v>
      </c>
      <c r="B10" t="s">
        <v>73</v>
      </c>
      <c r="C10" s="36">
        <v>203.9</v>
      </c>
      <c r="D10">
        <v>8.82</v>
      </c>
      <c r="E10" s="64">
        <v>199.43</v>
      </c>
      <c r="F10" s="71">
        <v>2.2400000000000003E-2</v>
      </c>
      <c r="G10">
        <v>2.1320000000000001</v>
      </c>
      <c r="H10" s="26" t="s">
        <v>146</v>
      </c>
      <c r="I10" s="30">
        <v>17.59</v>
      </c>
      <c r="J10" s="64">
        <v>0.153</v>
      </c>
      <c r="K10" s="74">
        <v>2.4380000000000002</v>
      </c>
      <c r="L10" s="64">
        <v>41.26</v>
      </c>
      <c r="M10" s="77">
        <v>1.5279202585201819</v>
      </c>
      <c r="N10" s="77">
        <v>0.92546774062354309</v>
      </c>
      <c r="O10">
        <v>97.42</v>
      </c>
      <c r="P10">
        <v>24.27</v>
      </c>
      <c r="Q10" s="64">
        <v>45.07</v>
      </c>
      <c r="R10" s="64">
        <v>9.5889777462865062</v>
      </c>
      <c r="S10" s="62">
        <v>97.42</v>
      </c>
      <c r="T10" s="69">
        <v>0.11261547936768634</v>
      </c>
    </row>
    <row r="11" spans="1:23">
      <c r="A11" s="14">
        <v>4</v>
      </c>
      <c r="B11" t="s">
        <v>72</v>
      </c>
      <c r="C11" s="36">
        <v>142.61699999999999</v>
      </c>
      <c r="D11">
        <v>5.04</v>
      </c>
      <c r="E11" s="64">
        <v>138.1</v>
      </c>
      <c r="F11" s="71">
        <v>3.27E-2</v>
      </c>
      <c r="G11">
        <v>2.8380000000000001</v>
      </c>
      <c r="H11" s="26" t="s">
        <v>148</v>
      </c>
      <c r="I11" s="30">
        <v>6.96</v>
      </c>
      <c r="J11" s="64">
        <v>1.2210000000000001</v>
      </c>
      <c r="K11" s="74">
        <v>2.4380000000000002</v>
      </c>
      <c r="L11" s="64">
        <v>19.57</v>
      </c>
      <c r="M11" s="77">
        <v>1.2486448078857657</v>
      </c>
      <c r="N11" s="77">
        <v>0.91896145280092068</v>
      </c>
      <c r="O11">
        <v>105.82</v>
      </c>
      <c r="P11">
        <v>0</v>
      </c>
      <c r="Q11" s="64">
        <v>8.81</v>
      </c>
      <c r="R11" s="64">
        <v>2.3620044301276786</v>
      </c>
      <c r="S11" s="62">
        <v>105.82</v>
      </c>
      <c r="T11" s="69">
        <v>0.12511812511812526</v>
      </c>
    </row>
    <row r="12" spans="1:23">
      <c r="A12" s="14">
        <v>5</v>
      </c>
      <c r="B12" t="s">
        <v>112</v>
      </c>
      <c r="C12" s="36">
        <v>136.93700000000001</v>
      </c>
      <c r="D12">
        <v>25.21</v>
      </c>
      <c r="E12" s="64">
        <v>132.49</v>
      </c>
      <c r="F12" s="71">
        <v>3.3599999999999998E-2</v>
      </c>
      <c r="G12">
        <v>4.1749999999999998</v>
      </c>
      <c r="H12" s="26" t="s">
        <v>147</v>
      </c>
      <c r="I12" s="30">
        <v>33.4</v>
      </c>
      <c r="J12" s="64">
        <v>9.6000000000000002E-2</v>
      </c>
      <c r="K12" s="74">
        <v>2.4380000000000002</v>
      </c>
      <c r="L12" s="64">
        <v>38.94</v>
      </c>
      <c r="M12" s="77">
        <v>0.87428242900541153</v>
      </c>
      <c r="N12" s="77">
        <v>7.8628545083514551E-2</v>
      </c>
      <c r="O12">
        <v>85.05</v>
      </c>
      <c r="P12">
        <v>35.46</v>
      </c>
      <c r="Q12" s="64">
        <v>65.849999999999994</v>
      </c>
      <c r="R12" s="64">
        <v>14.922548280907554</v>
      </c>
      <c r="S12" s="62">
        <v>85.05</v>
      </c>
      <c r="T12" s="69">
        <v>0.2376249265138155</v>
      </c>
    </row>
    <row r="13" spans="1:23">
      <c r="A13" s="14">
        <v>6</v>
      </c>
      <c r="B13" t="s">
        <v>115</v>
      </c>
      <c r="C13" s="36">
        <v>138.65899999999999</v>
      </c>
      <c r="D13">
        <v>23.83</v>
      </c>
      <c r="E13" s="64">
        <v>132.13999999999999</v>
      </c>
      <c r="F13" s="71">
        <v>4.9299999999999997E-2</v>
      </c>
      <c r="G13">
        <v>4.6379999999999999</v>
      </c>
      <c r="H13" s="26" t="s">
        <v>151</v>
      </c>
      <c r="I13" s="30">
        <v>31.49</v>
      </c>
      <c r="J13" s="64">
        <v>0.56499999999999995</v>
      </c>
      <c r="K13" s="74">
        <v>2.4380000000000002</v>
      </c>
      <c r="L13" s="64">
        <v>51.02</v>
      </c>
      <c r="M13" s="77">
        <v>0.88211519289531792</v>
      </c>
      <c r="N13" s="77">
        <v>-0.21665236101224106</v>
      </c>
      <c r="O13">
        <v>80.92</v>
      </c>
      <c r="P13">
        <v>43.95</v>
      </c>
      <c r="Q13" s="64">
        <v>81.63</v>
      </c>
      <c r="R13" s="64">
        <v>16.726955787006972</v>
      </c>
      <c r="S13" s="62">
        <v>80.92</v>
      </c>
      <c r="T13" s="69">
        <v>0.27231833910034609</v>
      </c>
    </row>
    <row r="14" spans="1:23">
      <c r="A14" s="14">
        <v>7</v>
      </c>
      <c r="B14" t="s">
        <v>113</v>
      </c>
      <c r="C14" s="36">
        <v>148.05000000000001</v>
      </c>
      <c r="D14">
        <v>7.74</v>
      </c>
      <c r="E14" s="64">
        <v>136.05000000000001</v>
      </c>
      <c r="F14" s="71">
        <v>8.8200000000000001E-2</v>
      </c>
      <c r="G14">
        <v>1.671</v>
      </c>
      <c r="H14" s="26" t="s">
        <v>150</v>
      </c>
      <c r="I14" s="30">
        <v>10.53</v>
      </c>
      <c r="J14" s="64">
        <v>0.59799999999999998</v>
      </c>
      <c r="K14" s="74">
        <v>2.4380000000000002</v>
      </c>
      <c r="L14" s="64">
        <v>30.86</v>
      </c>
      <c r="M14" s="77">
        <v>1.0481866387773497</v>
      </c>
      <c r="N14" s="77">
        <v>0.64926816695635226</v>
      </c>
      <c r="O14">
        <v>108.86</v>
      </c>
      <c r="P14">
        <v>10.91</v>
      </c>
      <c r="Q14" s="64">
        <v>20.27</v>
      </c>
      <c r="R14" s="64">
        <v>3.4659791938186819</v>
      </c>
      <c r="S14" s="62">
        <v>108.86</v>
      </c>
      <c r="T14" s="69">
        <v>0.28295057872496798</v>
      </c>
    </row>
    <row r="15" spans="1:23">
      <c r="A15" s="14">
        <v>8</v>
      </c>
      <c r="B15" t="s">
        <v>117</v>
      </c>
      <c r="C15" s="36">
        <v>129.78</v>
      </c>
      <c r="D15">
        <v>34.450000000000003</v>
      </c>
      <c r="E15" s="64">
        <v>119.13</v>
      </c>
      <c r="F15" s="71">
        <v>8.9399999999999993E-2</v>
      </c>
      <c r="G15">
        <v>4.57</v>
      </c>
      <c r="H15" s="26" t="s">
        <v>149</v>
      </c>
      <c r="I15" s="30">
        <v>41.04</v>
      </c>
      <c r="J15" s="64">
        <v>0.60899999999999999</v>
      </c>
      <c r="K15" s="74">
        <v>2.4380000000000002</v>
      </c>
      <c r="L15" s="64">
        <v>41.53</v>
      </c>
      <c r="M15" s="77">
        <v>0.73521001232282335</v>
      </c>
      <c r="N15" s="77">
        <v>-0.15259998497389551</v>
      </c>
      <c r="O15">
        <v>100.57</v>
      </c>
      <c r="P15">
        <v>24.12</v>
      </c>
      <c r="Q15" s="64">
        <v>44.79</v>
      </c>
      <c r="R15" s="64">
        <v>18.015406467524283</v>
      </c>
      <c r="S15" s="62">
        <v>100.57</v>
      </c>
      <c r="T15" s="69">
        <v>0.29044446654071798</v>
      </c>
    </row>
    <row r="16" spans="1:23">
      <c r="A16" s="14">
        <v>9</v>
      </c>
      <c r="B16" t="s">
        <v>114</v>
      </c>
      <c r="C16" s="36">
        <v>130.65199999999999</v>
      </c>
      <c r="D16">
        <v>24.4</v>
      </c>
      <c r="E16" s="64">
        <v>119.22</v>
      </c>
      <c r="F16" s="71">
        <v>9.5899999999999999E-2</v>
      </c>
      <c r="G16">
        <v>3.6850000000000001</v>
      </c>
      <c r="H16" s="26" t="s">
        <v>153</v>
      </c>
      <c r="I16" s="30">
        <v>29.09</v>
      </c>
      <c r="J16" s="64">
        <v>0.91800000000000004</v>
      </c>
      <c r="K16" s="74">
        <v>2.4380000000000002</v>
      </c>
      <c r="L16" s="64">
        <v>54.51</v>
      </c>
      <c r="M16" s="77">
        <v>0.74474176515495671</v>
      </c>
      <c r="N16" s="77">
        <v>-0.30165148159790717</v>
      </c>
      <c r="O16">
        <v>107.17</v>
      </c>
      <c r="P16">
        <v>5.42</v>
      </c>
      <c r="Q16" s="64">
        <v>10.06</v>
      </c>
      <c r="R16" s="64">
        <v>13.943395548985661</v>
      </c>
      <c r="S16" s="62">
        <v>107.17</v>
      </c>
      <c r="T16" s="69">
        <v>0.38145003265839339</v>
      </c>
    </row>
    <row r="17" spans="1:20">
      <c r="A17" s="14">
        <v>10</v>
      </c>
      <c r="B17" t="s">
        <v>121</v>
      </c>
      <c r="C17" s="36">
        <v>119.06</v>
      </c>
      <c r="D17">
        <v>6.78</v>
      </c>
      <c r="E17" s="64">
        <v>108.11</v>
      </c>
      <c r="F17" s="71">
        <v>0.1013</v>
      </c>
      <c r="G17">
        <v>3.137</v>
      </c>
      <c r="H17" s="26" t="s">
        <v>154</v>
      </c>
      <c r="I17" s="30">
        <v>7.33</v>
      </c>
      <c r="J17" s="64">
        <v>4.5019999999999998</v>
      </c>
      <c r="K17" s="74">
        <v>2.4380000000000002</v>
      </c>
      <c r="L17" s="64">
        <v>41.24</v>
      </c>
      <c r="M17" s="77">
        <v>0.38335385786890641</v>
      </c>
      <c r="N17" s="77">
        <v>-0.34707162438099443</v>
      </c>
      <c r="O17">
        <v>86.87</v>
      </c>
      <c r="P17">
        <v>13.08</v>
      </c>
      <c r="Q17" s="64">
        <v>24.3</v>
      </c>
      <c r="R17" s="64">
        <v>2.4712601209027745</v>
      </c>
      <c r="S17" s="62">
        <v>86.87</v>
      </c>
      <c r="T17" s="69">
        <v>0.38538045355128348</v>
      </c>
    </row>
    <row r="18" spans="1:20">
      <c r="A18" s="14">
        <v>11</v>
      </c>
      <c r="B18" t="s">
        <v>116</v>
      </c>
      <c r="C18" s="36">
        <v>139.66200000000001</v>
      </c>
      <c r="D18">
        <v>15.59</v>
      </c>
      <c r="E18" s="64">
        <v>126.3</v>
      </c>
      <c r="F18" s="71">
        <v>0.10580000000000001</v>
      </c>
      <c r="G18">
        <v>1.06</v>
      </c>
      <c r="H18" s="26" t="s">
        <v>152</v>
      </c>
      <c r="I18" s="30">
        <v>19.690000000000001</v>
      </c>
      <c r="J18" s="64">
        <v>2.0819999999999999</v>
      </c>
      <c r="K18" s="74">
        <v>2.4380000000000002</v>
      </c>
      <c r="L18" s="64">
        <v>27.09</v>
      </c>
      <c r="M18" s="77">
        <v>0.99010858239931177</v>
      </c>
      <c r="N18" s="77">
        <v>0.71119996187997403</v>
      </c>
      <c r="O18">
        <v>97.62</v>
      </c>
      <c r="P18">
        <v>3.53</v>
      </c>
      <c r="Q18" s="64">
        <v>6.55</v>
      </c>
      <c r="R18" s="64">
        <v>4.9495017593930797</v>
      </c>
      <c r="S18" s="62">
        <v>97.62</v>
      </c>
      <c r="T18" s="69">
        <v>0.46094038106945279</v>
      </c>
    </row>
    <row r="19" spans="1:20">
      <c r="A19" s="14">
        <v>12</v>
      </c>
      <c r="B19" t="s">
        <v>167</v>
      </c>
      <c r="C19" s="36">
        <v>115.5</v>
      </c>
      <c r="D19">
        <v>9.5399999999999991</v>
      </c>
      <c r="E19" s="64">
        <v>98.32</v>
      </c>
      <c r="F19" s="71">
        <v>0.17469999999999999</v>
      </c>
      <c r="G19">
        <v>1.748</v>
      </c>
      <c r="H19" s="26" t="s">
        <v>168</v>
      </c>
      <c r="I19" s="30">
        <v>9.3800000000000008</v>
      </c>
      <c r="J19" s="64">
        <v>0.85299999999999998</v>
      </c>
      <c r="K19" s="74">
        <v>2.4380000000000002</v>
      </c>
      <c r="L19" s="64">
        <v>42.65</v>
      </c>
      <c r="M19" s="77">
        <v>0.30108081222863886</v>
      </c>
      <c r="N19" s="77">
        <v>-0.26280315899239159</v>
      </c>
      <c r="O19">
        <v>94.64</v>
      </c>
      <c r="P19">
        <v>16.68</v>
      </c>
      <c r="Q19" s="64">
        <v>30.98</v>
      </c>
      <c r="R19" s="64">
        <v>2.1764398228239088</v>
      </c>
      <c r="S19" s="62">
        <v>94.64</v>
      </c>
      <c r="T19" s="69">
        <v>0.46512045646661027</v>
      </c>
    </row>
    <row r="20" spans="1:20">
      <c r="A20" s="14">
        <v>13</v>
      </c>
      <c r="B20" t="s">
        <v>123</v>
      </c>
      <c r="C20" s="36">
        <v>120.348</v>
      </c>
      <c r="D20">
        <v>18.690000000000001</v>
      </c>
      <c r="E20" s="64">
        <v>86.09</v>
      </c>
      <c r="F20" s="71">
        <v>0.39789999999999998</v>
      </c>
      <c r="G20">
        <v>5.8360000000000003</v>
      </c>
      <c r="H20" s="26" t="s">
        <v>155</v>
      </c>
      <c r="I20" s="30">
        <v>16.09</v>
      </c>
      <c r="J20" s="64">
        <v>1.1679999999999999</v>
      </c>
      <c r="K20" s="74">
        <v>2.4380000000000002</v>
      </c>
      <c r="L20" s="64">
        <v>46.08</v>
      </c>
      <c r="M20" s="77">
        <v>0.48861724723669747</v>
      </c>
      <c r="N20" s="77">
        <v>-0.62457484357243154</v>
      </c>
      <c r="O20">
        <v>93.43</v>
      </c>
      <c r="P20">
        <v>17.649999999999999</v>
      </c>
      <c r="Q20" s="64">
        <v>32.770000000000003</v>
      </c>
      <c r="R20" s="64">
        <v>6.7467418764045739</v>
      </c>
      <c r="S20" s="62">
        <v>93.43</v>
      </c>
      <c r="T20" s="69">
        <v>0.46566413357593928</v>
      </c>
    </row>
    <row r="21" spans="1:20">
      <c r="A21" s="14">
        <v>14</v>
      </c>
      <c r="B21" t="s">
        <v>125</v>
      </c>
      <c r="C21" s="36">
        <v>105.26</v>
      </c>
      <c r="D21">
        <v>50.65</v>
      </c>
      <c r="E21" s="64">
        <v>66.89</v>
      </c>
      <c r="F21" s="71">
        <v>0.5736</v>
      </c>
      <c r="G21">
        <v>5.8360000000000003</v>
      </c>
      <c r="H21" s="26" t="s">
        <v>156</v>
      </c>
      <c r="I21" s="30">
        <v>33.880000000000003</v>
      </c>
      <c r="J21" s="64">
        <v>0.88</v>
      </c>
      <c r="K21" s="74">
        <v>2.4380000000000002</v>
      </c>
      <c r="L21" s="64">
        <v>40.700000000000003</v>
      </c>
      <c r="M21" s="77">
        <v>0.17511214904067804</v>
      </c>
      <c r="N21" s="77">
        <v>-0.80811089991616991</v>
      </c>
      <c r="O21">
        <v>88.58</v>
      </c>
      <c r="P21">
        <v>17.079999999999998</v>
      </c>
      <c r="Q21" s="64">
        <v>31.72</v>
      </c>
      <c r="R21" s="64">
        <v>10.090328258649446</v>
      </c>
      <c r="S21" s="62">
        <v>88.58</v>
      </c>
      <c r="T21" s="69">
        <v>0.47496048769473909</v>
      </c>
    </row>
    <row r="22" spans="1:20">
      <c r="A22" s="14">
        <v>15</v>
      </c>
      <c r="B22" t="s">
        <v>127</v>
      </c>
      <c r="C22" s="36">
        <v>108.39100000000001</v>
      </c>
      <c r="D22">
        <v>34.67</v>
      </c>
      <c r="E22" s="64">
        <v>63.63</v>
      </c>
      <c r="F22" s="71">
        <v>0.7034999999999999</v>
      </c>
      <c r="G22">
        <v>5.5039999999999996</v>
      </c>
      <c r="H22" s="26" t="s">
        <v>157</v>
      </c>
      <c r="I22" s="30">
        <v>22.06</v>
      </c>
      <c r="J22" s="64">
        <v>0.22700000000000001</v>
      </c>
      <c r="K22" s="74">
        <v>2.4380000000000002</v>
      </c>
      <c r="L22" s="64">
        <v>41.37</v>
      </c>
      <c r="M22" s="77">
        <v>0.14484666374297078</v>
      </c>
      <c r="N22" s="77">
        <v>-0.82571857659896508</v>
      </c>
      <c r="O22">
        <v>104.27</v>
      </c>
      <c r="P22">
        <v>7.43</v>
      </c>
      <c r="Q22" s="64">
        <v>13.79</v>
      </c>
      <c r="R22" s="64">
        <v>6.101159173673353</v>
      </c>
      <c r="S22" s="62">
        <v>104.27</v>
      </c>
      <c r="T22" s="69">
        <v>0.47693488059844635</v>
      </c>
    </row>
    <row r="23" spans="1:20">
      <c r="A23" s="14">
        <v>16</v>
      </c>
      <c r="B23" t="s">
        <v>131</v>
      </c>
      <c r="C23" s="36">
        <v>96.8</v>
      </c>
      <c r="D23">
        <v>8.2100000000000009</v>
      </c>
      <c r="E23" s="64">
        <v>50.06</v>
      </c>
      <c r="F23" s="71">
        <v>0.93370000000000009</v>
      </c>
      <c r="G23">
        <v>4.8159999999999998</v>
      </c>
      <c r="H23" s="26" t="s">
        <v>159</v>
      </c>
      <c r="I23" s="30">
        <v>4.1100000000000003</v>
      </c>
      <c r="J23" s="64">
        <v>0.60799999999999998</v>
      </c>
      <c r="K23" s="74">
        <v>2.4380000000000002</v>
      </c>
      <c r="L23" s="64">
        <v>32.46</v>
      </c>
      <c r="M23" s="77">
        <v>-0.49144260417135149</v>
      </c>
      <c r="N23" s="77">
        <v>-1.203789858366944</v>
      </c>
      <c r="O23">
        <v>97.13</v>
      </c>
      <c r="P23">
        <v>6.34</v>
      </c>
      <c r="Q23" s="64">
        <v>11.78</v>
      </c>
      <c r="R23" s="64">
        <v>0.44579582302889043</v>
      </c>
      <c r="S23" s="62">
        <v>97.13</v>
      </c>
      <c r="T23" s="69">
        <v>0.48088129311232364</v>
      </c>
    </row>
    <row r="24" spans="1:20">
      <c r="A24" s="14">
        <v>17</v>
      </c>
      <c r="B24" t="s">
        <v>129</v>
      </c>
      <c r="C24" s="36">
        <v>102.956</v>
      </c>
      <c r="D24">
        <v>62.79</v>
      </c>
      <c r="E24" s="64">
        <v>52.84</v>
      </c>
      <c r="F24" s="71">
        <v>0.94840000000000002</v>
      </c>
      <c r="G24">
        <v>5.3070000000000004</v>
      </c>
      <c r="H24" s="26" t="s">
        <v>158</v>
      </c>
      <c r="I24" s="30">
        <v>33.18</v>
      </c>
      <c r="J24" s="64">
        <v>0.82299999999999995</v>
      </c>
      <c r="K24" s="74">
        <v>2.4380000000000002</v>
      </c>
      <c r="L24" s="64">
        <v>36.19</v>
      </c>
      <c r="M24" s="77">
        <v>-0.24541892352272032</v>
      </c>
      <c r="N24" s="77">
        <v>-1.0791253072514286</v>
      </c>
      <c r="O24">
        <v>105.25</v>
      </c>
      <c r="P24">
        <v>6.17</v>
      </c>
      <c r="Q24" s="64">
        <v>11.47</v>
      </c>
      <c r="R24" s="64">
        <v>5.635322677742594</v>
      </c>
      <c r="S24" s="62">
        <v>105.25</v>
      </c>
      <c r="T24" s="69">
        <v>0.93729216152019013</v>
      </c>
    </row>
    <row r="25" spans="1:20">
      <c r="A25" s="14">
        <v>18</v>
      </c>
      <c r="B25" t="s">
        <v>133</v>
      </c>
      <c r="C25" s="36">
        <v>102.35</v>
      </c>
      <c r="D25">
        <v>38.74</v>
      </c>
      <c r="E25" s="64">
        <v>45.25</v>
      </c>
      <c r="F25" s="71">
        <v>1.2619</v>
      </c>
      <c r="G25">
        <v>5.4050000000000002</v>
      </c>
      <c r="H25" s="26" t="s">
        <v>160</v>
      </c>
      <c r="I25" s="30">
        <v>17.53</v>
      </c>
      <c r="J25" s="64">
        <v>0.97499999999999998</v>
      </c>
      <c r="K25" s="74">
        <v>2.4380000000000002</v>
      </c>
      <c r="L25" s="64">
        <v>40.99</v>
      </c>
      <c r="M25" s="77">
        <v>-0.27263944080325292</v>
      </c>
      <c r="N25" s="77">
        <v>-1.2256018451246407</v>
      </c>
      <c r="O25">
        <v>78.099999999999994</v>
      </c>
      <c r="P25">
        <v>15.3</v>
      </c>
      <c r="Q25" s="64">
        <v>28.41</v>
      </c>
      <c r="R25" s="64">
        <v>3.1404661435615973</v>
      </c>
      <c r="S25" s="62">
        <v>78.099999999999994</v>
      </c>
      <c r="T25" s="69">
        <v>1.138335467349552</v>
      </c>
    </row>
  </sheetData>
  <autoFilter ref="A7:T10" xr:uid="{00000000-0009-0000-0000-000001000000}">
    <sortState xmlns:xlrd2="http://schemas.microsoft.com/office/spreadsheetml/2017/richdata2" ref="A8:T25">
      <sortCondition descending="1" ref="Q7:Q10"/>
    </sortState>
  </autoFilter>
  <hyperlinks>
    <hyperlink ref="L1" r:id="rId1" display="https://tradingeconomics.com/china/government-bond-yield" xr:uid="{D3FD836B-451F-453F-B472-AA12A7F0BECD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refresh_underlying_stock">
                <anchor moveWithCells="1" sizeWithCells="1">
                  <from>
                    <xdr:col>21</xdr:col>
                    <xdr:colOff>190500</xdr:colOff>
                    <xdr:row>3</xdr:row>
                    <xdr:rowOff>12700</xdr:rowOff>
                  </from>
                  <to>
                    <xdr:col>22</xdr:col>
                    <xdr:colOff>495300</xdr:colOff>
                    <xdr:row>3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56"/>
  <sheetViews>
    <sheetView zoomScaleNormal="100" workbookViewId="0">
      <pane ySplit="2" topLeftCell="A3" activePane="bottomLeft" state="frozen"/>
      <selection pane="bottomLeft" activeCell="E4" sqref="E4"/>
    </sheetView>
  </sheetViews>
  <sheetFormatPr defaultColWidth="9" defaultRowHeight="15.5"/>
  <cols>
    <col min="1" max="2" width="12.25" style="7" bestFit="1" customWidth="1"/>
    <col min="3" max="3" width="12.1640625" style="7" customWidth="1"/>
    <col min="4" max="4" width="27.25" style="9" customWidth="1"/>
    <col min="5" max="5" width="26.33203125" style="9" customWidth="1"/>
    <col min="6" max="7" width="9" style="7"/>
    <col min="8" max="8" width="3.75" style="10" customWidth="1"/>
    <col min="9" max="10" width="12.25" style="7" bestFit="1" customWidth="1"/>
    <col min="11" max="11" width="8.5" style="7" bestFit="1" customWidth="1"/>
    <col min="12" max="12" width="10.08203125" style="25" bestFit="1" customWidth="1"/>
    <col min="13" max="13" width="10.08203125" style="16" customWidth="1"/>
    <col min="14" max="14" width="12.25" style="7" bestFit="1" customWidth="1"/>
    <col min="15" max="16" width="9" style="7"/>
    <col min="17" max="17" width="3.75" style="10" customWidth="1"/>
    <col min="18" max="19" width="12.25" style="7" bestFit="1" customWidth="1"/>
    <col min="20" max="20" width="8.33203125" style="7" customWidth="1"/>
    <col min="21" max="21" width="10.08203125" style="25" bestFit="1" customWidth="1"/>
    <col min="22" max="22" width="10.08203125" style="16" customWidth="1"/>
    <col min="23" max="23" width="12.25" style="7" bestFit="1" customWidth="1"/>
    <col min="24" max="16384" width="9" style="7"/>
  </cols>
  <sheetData>
    <row r="1" spans="1:23">
      <c r="A1" s="8" t="s">
        <v>70</v>
      </c>
      <c r="B1" s="8"/>
      <c r="C1" s="21"/>
      <c r="D1" s="7"/>
      <c r="E1" s="7"/>
      <c r="I1" s="8" t="s">
        <v>24</v>
      </c>
      <c r="J1" s="8"/>
      <c r="K1" s="17" t="s">
        <v>25</v>
      </c>
      <c r="L1" s="23"/>
      <c r="M1" s="18"/>
      <c r="N1" s="17"/>
      <c r="O1" s="17"/>
      <c r="P1" s="17"/>
      <c r="R1" s="8" t="s">
        <v>34</v>
      </c>
      <c r="S1" s="8"/>
      <c r="U1" s="7"/>
      <c r="V1" s="7"/>
    </row>
    <row r="2" spans="1:23" s="6" customFormat="1">
      <c r="A2" s="6" t="s">
        <v>78</v>
      </c>
      <c r="B2" s="6" t="s">
        <v>79</v>
      </c>
      <c r="C2" s="6" t="s">
        <v>87</v>
      </c>
      <c r="D2" s="4" t="s">
        <v>66</v>
      </c>
      <c r="E2" s="4" t="s">
        <v>71</v>
      </c>
      <c r="H2" s="11"/>
      <c r="I2" s="6" t="s">
        <v>22</v>
      </c>
      <c r="J2" s="6" t="s">
        <v>23</v>
      </c>
      <c r="K2" s="6" t="s">
        <v>56</v>
      </c>
      <c r="L2" s="24" t="s">
        <v>57</v>
      </c>
      <c r="M2" s="15" t="s">
        <v>58</v>
      </c>
      <c r="N2" s="4" t="s">
        <v>19</v>
      </c>
      <c r="Q2" s="11"/>
      <c r="R2" s="6" t="s">
        <v>78</v>
      </c>
      <c r="S2" s="6" t="s">
        <v>79</v>
      </c>
      <c r="T2" s="6" t="s">
        <v>87</v>
      </c>
      <c r="U2" s="24" t="s">
        <v>57</v>
      </c>
      <c r="V2" s="15" t="s">
        <v>106</v>
      </c>
      <c r="W2" s="4" t="s">
        <v>58</v>
      </c>
    </row>
    <row r="3" spans="1:23">
      <c r="A3" s="57">
        <v>123236</v>
      </c>
      <c r="B3" t="s">
        <v>122</v>
      </c>
      <c r="C3" s="7">
        <f>VLOOKUP(A3,'RealTimeData - Convertible Bond'!$B$7:$D$25,3,FALSE)</f>
        <v>120.348</v>
      </c>
      <c r="D3" s="5" t="e">
        <f t="shared" ref="D3:D22" si="0">MATCH(A3,$I$1:$I$130,0)-2</f>
        <v>#N/A</v>
      </c>
      <c r="E3" s="5" t="e">
        <f>MATCH(A3,$R$1:$R$43,0)-2</f>
        <v>#N/A</v>
      </c>
      <c r="H3" s="10">
        <v>1</v>
      </c>
      <c r="I3">
        <v>113578</v>
      </c>
      <c r="J3" t="s">
        <v>38</v>
      </c>
      <c r="K3">
        <v>96.456000000000003</v>
      </c>
      <c r="L3" s="20">
        <v>1.8700000000000001E-2</v>
      </c>
      <c r="M3" s="13">
        <v>3.8259099999999999</v>
      </c>
      <c r="N3" s="5" t="str">
        <f>IF(ISNA(MATCH(I3,$A$3:$A$130,0)),"未买","Yes")</f>
        <v>未买</v>
      </c>
      <c r="Q3" s="10">
        <v>1</v>
      </c>
      <c r="R3" s="7">
        <v>127037</v>
      </c>
      <c r="S3" s="7" t="s">
        <v>91</v>
      </c>
      <c r="T3" s="7">
        <v>154</v>
      </c>
      <c r="U3" s="20">
        <v>3.5999999999999999E-3</v>
      </c>
      <c r="V3" s="13">
        <v>667.46720000000005</v>
      </c>
      <c r="W3" s="5">
        <v>3.9944130000000002</v>
      </c>
    </row>
    <row r="4" spans="1:23">
      <c r="A4" s="57">
        <v>127101</v>
      </c>
      <c r="B4" t="s">
        <v>124</v>
      </c>
      <c r="C4" s="7">
        <f>VLOOKUP(A4,'RealTimeData - Convertible Bond'!$B$7:$D$25,3,FALSE)</f>
        <v>105.26</v>
      </c>
      <c r="D4" s="5" t="e">
        <f t="shared" si="0"/>
        <v>#N/A</v>
      </c>
      <c r="E4" s="5" t="e">
        <f t="shared" ref="E3:E22" si="1">MATCH(A4,$R$1:$R$43,0)-2</f>
        <v>#N/A</v>
      </c>
      <c r="H4" s="10">
        <v>2</v>
      </c>
      <c r="I4">
        <v>123096</v>
      </c>
      <c r="J4" t="s">
        <v>37</v>
      </c>
      <c r="K4">
        <v>105.95</v>
      </c>
      <c r="L4" s="20">
        <v>1.8799999999999997E-2</v>
      </c>
      <c r="M4" s="13">
        <v>8.1670039999999986</v>
      </c>
      <c r="N4" s="5" t="str">
        <f>IF(ISNA(MATCH(I4,$A$3:$A$130,0)),"未买","Yes")</f>
        <v>未买</v>
      </c>
      <c r="Q4" s="10">
        <v>2</v>
      </c>
      <c r="R4" s="7">
        <v>128106</v>
      </c>
      <c r="S4" s="7" t="s">
        <v>93</v>
      </c>
      <c r="T4" s="7">
        <v>203.9</v>
      </c>
      <c r="U4" s="20">
        <v>2.2400000000000003E-2</v>
      </c>
      <c r="V4" s="13">
        <v>254.55850000000001</v>
      </c>
      <c r="W4" s="5">
        <v>5.3213419999999996</v>
      </c>
    </row>
    <row r="5" spans="1:23">
      <c r="A5" s="57">
        <v>127091</v>
      </c>
      <c r="B5" t="s">
        <v>126</v>
      </c>
      <c r="C5" s="7">
        <f>VLOOKUP(A5,'RealTimeData - Convertible Bond'!$B$7:$D$25,3,FALSE)</f>
        <v>108.39100000000001</v>
      </c>
      <c r="D5" s="5" t="e">
        <f t="shared" si="0"/>
        <v>#N/A</v>
      </c>
      <c r="E5" s="5" t="e">
        <f t="shared" si="1"/>
        <v>#N/A</v>
      </c>
      <c r="H5" s="10">
        <v>3</v>
      </c>
      <c r="I5">
        <v>113595</v>
      </c>
      <c r="J5" t="s">
        <v>18</v>
      </c>
      <c r="K5">
        <v>108.999</v>
      </c>
      <c r="L5" s="20">
        <v>2.5899999999999999E-2</v>
      </c>
      <c r="M5" s="13">
        <v>2.7068099999999999</v>
      </c>
      <c r="N5" s="5" t="str">
        <f>IF(ISNA(MATCH(I5,$A$3:$A$130,0)),"未买","Yes")</f>
        <v>未买</v>
      </c>
      <c r="Q5" s="10">
        <v>3</v>
      </c>
      <c r="R5" s="7">
        <v>123092</v>
      </c>
      <c r="S5" s="7" t="s">
        <v>94</v>
      </c>
      <c r="T5" s="7">
        <v>142.61699999999999</v>
      </c>
      <c r="U5" s="20">
        <v>3.27E-2</v>
      </c>
      <c r="V5" s="13">
        <v>398.8193</v>
      </c>
      <c r="W5" s="5">
        <v>3.996769</v>
      </c>
    </row>
    <row r="6" spans="1:23">
      <c r="A6" s="57">
        <v>118035</v>
      </c>
      <c r="B6" t="s">
        <v>128</v>
      </c>
      <c r="C6" s="7">
        <f>VLOOKUP(A6,'RealTimeData - Convertible Bond'!$B$7:$D$25,3,FALSE)</f>
        <v>102.956</v>
      </c>
      <c r="D6" s="5" t="e">
        <f t="shared" si="0"/>
        <v>#N/A</v>
      </c>
      <c r="E6" s="5" t="e">
        <f t="shared" si="1"/>
        <v>#N/A</v>
      </c>
      <c r="H6" s="10">
        <v>4</v>
      </c>
      <c r="I6">
        <v>123092</v>
      </c>
      <c r="J6" t="s">
        <v>49</v>
      </c>
      <c r="K6">
        <v>202</v>
      </c>
      <c r="L6" s="20">
        <v>3.0299999999999997E-2</v>
      </c>
      <c r="M6" s="13">
        <v>3.996839</v>
      </c>
      <c r="N6" s="5" t="str">
        <f>IF(ISNA(MATCH(I6,$A$3:$A$130,0)),"未买","Yes")</f>
        <v>未买</v>
      </c>
      <c r="Q6" s="10">
        <v>4</v>
      </c>
      <c r="R6" s="7">
        <v>127014</v>
      </c>
      <c r="S6" s="7" t="s">
        <v>95</v>
      </c>
      <c r="T6" s="7">
        <v>148.05000000000001</v>
      </c>
      <c r="U6" s="20">
        <v>8.8200000000000001E-2</v>
      </c>
      <c r="V6" s="13">
        <v>532.13419999999996</v>
      </c>
      <c r="W6" s="5">
        <v>2.43215</v>
      </c>
    </row>
    <row r="7" spans="1:23">
      <c r="A7" s="57">
        <v>113665</v>
      </c>
      <c r="B7" t="s">
        <v>130</v>
      </c>
      <c r="C7" s="7">
        <f>VLOOKUP(A7,'RealTimeData - Convertible Bond'!$B$7:$D$25,3,FALSE)</f>
        <v>96.8</v>
      </c>
      <c r="D7" s="5" t="e">
        <f t="shared" si="0"/>
        <v>#N/A</v>
      </c>
      <c r="E7" s="5" t="e">
        <f t="shared" si="1"/>
        <v>#N/A</v>
      </c>
      <c r="H7" s="10">
        <v>5</v>
      </c>
      <c r="I7">
        <v>113534</v>
      </c>
      <c r="J7" t="s">
        <v>51</v>
      </c>
      <c r="K7">
        <v>208.49199999999999</v>
      </c>
      <c r="L7" s="20">
        <v>3.1899999999999998E-2</v>
      </c>
      <c r="M7" s="13">
        <v>3.9189099999999999</v>
      </c>
      <c r="N7" s="5" t="str">
        <f>IF(ISNA(MATCH(I7,$A$3:$A$130,0)),"未买","Yes")</f>
        <v>未买</v>
      </c>
      <c r="Q7" s="10">
        <v>5</v>
      </c>
      <c r="R7" s="7">
        <v>123127</v>
      </c>
      <c r="S7" s="7" t="s">
        <v>96</v>
      </c>
      <c r="T7" s="7">
        <v>130.65199999999999</v>
      </c>
      <c r="U7" s="20">
        <v>9.5899999999999999E-2</v>
      </c>
      <c r="V7" s="13">
        <v>399.67689999999999</v>
      </c>
      <c r="W7" s="5">
        <v>2.8860800000000002</v>
      </c>
    </row>
    <row r="8" spans="1:23">
      <c r="A8" s="57">
        <v>127089</v>
      </c>
      <c r="B8" t="s">
        <v>132</v>
      </c>
      <c r="C8" s="7">
        <f>VLOOKUP(A8,'RealTimeData - Convertible Bond'!$B$7:$D$25,3,FALSE)</f>
        <v>102.35</v>
      </c>
      <c r="D8" s="5" t="e">
        <f>MATCH(A8,$I$1:$I$130,0)-2</f>
        <v>#N/A</v>
      </c>
      <c r="E8" s="5" t="e">
        <f t="shared" si="1"/>
        <v>#N/A</v>
      </c>
      <c r="H8" s="10">
        <v>6</v>
      </c>
      <c r="I8">
        <v>118021</v>
      </c>
      <c r="J8" t="s">
        <v>53</v>
      </c>
      <c r="K8">
        <v>194.34899999999999</v>
      </c>
      <c r="L8" s="20">
        <v>3.5799999999999998E-2</v>
      </c>
      <c r="M8" s="13">
        <v>4.8392999999999997</v>
      </c>
      <c r="N8" s="5" t="str">
        <f t="shared" ref="N8:N20" si="2">IF(ISNA(MATCH(I8,$A$3:$A$130,0)),"未买","Yes")</f>
        <v>未买</v>
      </c>
      <c r="Q8" s="10">
        <v>6</v>
      </c>
      <c r="R8" s="7">
        <v>110055</v>
      </c>
      <c r="S8" s="7" t="s">
        <v>98</v>
      </c>
      <c r="T8" s="7">
        <v>139.66200000000001</v>
      </c>
      <c r="U8" s="20">
        <v>0.10580000000000001</v>
      </c>
      <c r="V8" s="13">
        <v>243.215</v>
      </c>
      <c r="W8" s="5">
        <v>3.1991480000000001</v>
      </c>
    </row>
    <row r="9" spans="1:23">
      <c r="A9" s="57">
        <v>127032</v>
      </c>
      <c r="B9" t="s">
        <v>120</v>
      </c>
      <c r="C9" s="7">
        <f>VLOOKUP(A9,'RealTimeData - Convertible Bond'!$B$7:$D$21,3,FALSE)</f>
        <v>119.06</v>
      </c>
      <c r="D9" s="5" t="e">
        <f t="shared" si="0"/>
        <v>#N/A</v>
      </c>
      <c r="E9" s="5" t="e">
        <f t="shared" si="1"/>
        <v>#N/A</v>
      </c>
      <c r="H9" s="10">
        <v>7</v>
      </c>
      <c r="I9">
        <v>127029</v>
      </c>
      <c r="J9" t="s">
        <v>55</v>
      </c>
      <c r="K9">
        <v>161.80000000000001</v>
      </c>
      <c r="L9" s="20">
        <v>3.8699999999999998E-2</v>
      </c>
      <c r="M9" s="13">
        <v>7.6229060000000004</v>
      </c>
      <c r="N9" s="5" t="str">
        <f t="shared" si="2"/>
        <v>未买</v>
      </c>
      <c r="Q9" s="10">
        <v>7</v>
      </c>
      <c r="R9" s="7">
        <v>110055</v>
      </c>
      <c r="S9" s="7" t="s">
        <v>98</v>
      </c>
      <c r="T9" s="7">
        <v>139.66200000000001</v>
      </c>
      <c r="U9" s="20">
        <v>0.10580000000000001</v>
      </c>
      <c r="V9" s="13">
        <v>243.215</v>
      </c>
      <c r="W9" s="5">
        <v>6.9493479999999996</v>
      </c>
    </row>
    <row r="10" spans="1:23">
      <c r="A10" s="57">
        <v>113066</v>
      </c>
      <c r="B10" t="s">
        <v>118</v>
      </c>
      <c r="C10" s="7">
        <f>VLOOKUP(A10,'RealTimeData - Convertible Bond'!$B$7:$D$21,3,FALSE)</f>
        <v>143.83799999999999</v>
      </c>
      <c r="D10" s="5" t="e">
        <f t="shared" si="0"/>
        <v>#N/A</v>
      </c>
      <c r="E10" s="5" t="e">
        <f t="shared" si="1"/>
        <v>#N/A</v>
      </c>
      <c r="H10" s="10">
        <v>8</v>
      </c>
      <c r="I10">
        <v>128062</v>
      </c>
      <c r="J10" t="s">
        <v>28</v>
      </c>
      <c r="K10">
        <v>113.596</v>
      </c>
      <c r="L10" s="20">
        <v>5.57E-2</v>
      </c>
      <c r="M10" s="13">
        <v>8.4591399999999997</v>
      </c>
      <c r="N10" s="5" t="str">
        <f t="shared" si="2"/>
        <v>未买</v>
      </c>
      <c r="Q10" s="10">
        <v>8</v>
      </c>
      <c r="R10" s="7">
        <v>118021</v>
      </c>
      <c r="S10" s="7" t="s">
        <v>100</v>
      </c>
      <c r="T10" s="7">
        <v>139.833</v>
      </c>
      <c r="U10" s="20">
        <v>0.11199999999999999</v>
      </c>
      <c r="V10" s="13">
        <v>288.608</v>
      </c>
      <c r="W10" s="5">
        <v>1.8677539999999999</v>
      </c>
    </row>
    <row r="11" spans="1:23">
      <c r="A11"/>
      <c r="B11"/>
      <c r="D11" s="5"/>
      <c r="E11" s="5"/>
      <c r="H11" s="10">
        <v>9</v>
      </c>
      <c r="I11">
        <v>127065</v>
      </c>
      <c r="J11" t="s">
        <v>50</v>
      </c>
      <c r="K11">
        <v>212.88</v>
      </c>
      <c r="L11" s="20">
        <v>6.0999999999999999E-2</v>
      </c>
      <c r="M11" s="13">
        <v>3.020546</v>
      </c>
      <c r="N11" s="5" t="str">
        <f t="shared" si="2"/>
        <v>未买</v>
      </c>
      <c r="Q11" s="10">
        <v>9</v>
      </c>
      <c r="R11" s="7">
        <v>128123</v>
      </c>
      <c r="S11" s="7" t="s">
        <v>101</v>
      </c>
      <c r="T11" s="7">
        <v>126.11199999999999</v>
      </c>
      <c r="U11" s="20">
        <v>0.13089999999999999</v>
      </c>
      <c r="V11" s="13">
        <v>319.91480000000001</v>
      </c>
      <c r="W11" s="5">
        <v>3.3414000000000001</v>
      </c>
    </row>
    <row r="12" spans="1:23">
      <c r="A12"/>
      <c r="B12"/>
      <c r="D12" s="5"/>
      <c r="E12" s="5"/>
      <c r="H12" s="10">
        <v>10</v>
      </c>
      <c r="I12">
        <v>113519</v>
      </c>
      <c r="J12" t="s">
        <v>63</v>
      </c>
      <c r="K12">
        <v>135.1</v>
      </c>
      <c r="L12" s="20">
        <v>6.9900000000000004E-2</v>
      </c>
      <c r="M12" s="13">
        <v>3.93275</v>
      </c>
      <c r="N12" s="5" t="str">
        <f t="shared" si="2"/>
        <v>未买</v>
      </c>
      <c r="Q12" s="10">
        <v>10</v>
      </c>
      <c r="R12" s="7">
        <v>123188</v>
      </c>
      <c r="S12" s="7" t="s">
        <v>102</v>
      </c>
      <c r="T12" s="7">
        <v>129.00800000000001</v>
      </c>
      <c r="U12" s="20">
        <v>0.13269999999999998</v>
      </c>
      <c r="V12" s="13">
        <v>694.9348</v>
      </c>
      <c r="W12" s="5">
        <v>3.0840480000000001</v>
      </c>
    </row>
    <row r="13" spans="1:23">
      <c r="A13"/>
      <c r="B13"/>
      <c r="D13" s="5"/>
      <c r="E13" s="5"/>
      <c r="H13" s="10">
        <v>11</v>
      </c>
      <c r="I13">
        <v>128049</v>
      </c>
      <c r="J13" t="s">
        <v>60</v>
      </c>
      <c r="K13">
        <v>133.24700000000001</v>
      </c>
      <c r="L13" s="20">
        <v>7.2099999999999997E-2</v>
      </c>
      <c r="M13" s="13">
        <v>3.6079189999999999</v>
      </c>
      <c r="N13" s="5" t="str">
        <f t="shared" si="2"/>
        <v>未买</v>
      </c>
      <c r="Q13" s="10">
        <v>11</v>
      </c>
      <c r="R13" s="7">
        <v>127065</v>
      </c>
      <c r="S13" s="7" t="s">
        <v>103</v>
      </c>
      <c r="T13" s="7">
        <v>146.5</v>
      </c>
      <c r="U13" s="20">
        <v>0.13869999999999999</v>
      </c>
      <c r="V13" s="13">
        <v>186.77539999999999</v>
      </c>
      <c r="W13" s="5">
        <v>5.0934499999999998</v>
      </c>
    </row>
    <row r="14" spans="1:23">
      <c r="A14"/>
      <c r="B14"/>
      <c r="D14" s="5"/>
      <c r="E14" s="5"/>
      <c r="H14" s="10">
        <v>12</v>
      </c>
      <c r="I14">
        <v>113628</v>
      </c>
      <c r="J14" t="s">
        <v>36</v>
      </c>
      <c r="K14">
        <v>129.32900000000001</v>
      </c>
      <c r="L14" s="20">
        <v>8.2500000000000004E-2</v>
      </c>
      <c r="M14" s="13">
        <v>4.1492800000000001</v>
      </c>
      <c r="N14" s="5" t="str">
        <f t="shared" si="2"/>
        <v>未买</v>
      </c>
      <c r="Q14" s="10">
        <v>12</v>
      </c>
      <c r="U14" s="20"/>
      <c r="V14" s="13"/>
      <c r="W14" s="5"/>
    </row>
    <row r="15" spans="1:23">
      <c r="A15"/>
      <c r="B15"/>
      <c r="D15" s="5"/>
      <c r="E15" s="5"/>
      <c r="H15" s="10">
        <v>13</v>
      </c>
      <c r="I15">
        <v>128106</v>
      </c>
      <c r="J15" t="s">
        <v>61</v>
      </c>
      <c r="K15">
        <v>184.9</v>
      </c>
      <c r="L15" s="20">
        <v>9.1600000000000001E-2</v>
      </c>
      <c r="M15" s="13">
        <v>2.868185</v>
      </c>
      <c r="N15" s="5" t="str">
        <f t="shared" si="2"/>
        <v>未买</v>
      </c>
      <c r="Q15" s="10">
        <v>13</v>
      </c>
      <c r="U15" s="20"/>
      <c r="V15" s="13"/>
      <c r="W15" s="5"/>
    </row>
    <row r="16" spans="1:23">
      <c r="A16"/>
      <c r="B16"/>
      <c r="D16" s="5"/>
      <c r="E16" s="5"/>
      <c r="H16" s="10">
        <v>14</v>
      </c>
      <c r="I16">
        <v>123141</v>
      </c>
      <c r="J16" t="s">
        <v>20</v>
      </c>
      <c r="K16">
        <v>130.43600000000001</v>
      </c>
      <c r="L16" s="20">
        <v>9.2699999999999991E-2</v>
      </c>
      <c r="M16" s="13">
        <v>3.2100430000000002</v>
      </c>
      <c r="N16" s="5" t="str">
        <f t="shared" si="2"/>
        <v>未买</v>
      </c>
      <c r="Q16" s="10">
        <v>14</v>
      </c>
      <c r="U16" s="20"/>
      <c r="V16" s="13"/>
      <c r="W16" s="5"/>
    </row>
    <row r="17" spans="1:23">
      <c r="A17"/>
      <c r="B17"/>
      <c r="D17" s="5"/>
      <c r="E17" s="5"/>
      <c r="H17" s="10">
        <v>15</v>
      </c>
      <c r="I17">
        <v>127037</v>
      </c>
      <c r="J17" t="s">
        <v>62</v>
      </c>
      <c r="K17">
        <v>189.8</v>
      </c>
      <c r="L17" s="20">
        <v>0.1016</v>
      </c>
      <c r="M17" s="13">
        <v>6.9940800000000003</v>
      </c>
      <c r="N17" s="5" t="str">
        <f t="shared" si="2"/>
        <v>未买</v>
      </c>
      <c r="Q17" s="10">
        <v>15</v>
      </c>
      <c r="U17" s="20"/>
      <c r="V17" s="13"/>
      <c r="W17" s="5"/>
    </row>
    <row r="18" spans="1:23">
      <c r="A18"/>
      <c r="B18"/>
      <c r="D18" s="5"/>
      <c r="E18" s="5"/>
      <c r="H18" s="10">
        <v>16</v>
      </c>
      <c r="I18">
        <v>123164</v>
      </c>
      <c r="J18" t="s">
        <v>52</v>
      </c>
      <c r="K18">
        <v>141.392</v>
      </c>
      <c r="L18" s="20">
        <v>0.10199999999999999</v>
      </c>
      <c r="M18" s="13">
        <v>5.9997170000000004</v>
      </c>
      <c r="N18" s="5" t="str">
        <f t="shared" si="2"/>
        <v>未买</v>
      </c>
      <c r="U18" s="20"/>
      <c r="V18" s="13"/>
      <c r="W18" s="5"/>
    </row>
    <row r="19" spans="1:23">
      <c r="A19"/>
      <c r="B19"/>
      <c r="D19" s="5"/>
      <c r="E19" s="5"/>
      <c r="H19" s="10">
        <v>17</v>
      </c>
      <c r="I19">
        <v>111011</v>
      </c>
      <c r="J19" t="s">
        <v>54</v>
      </c>
      <c r="K19">
        <v>135.685</v>
      </c>
      <c r="L19" s="20">
        <v>0.1047</v>
      </c>
      <c r="M19" s="13">
        <v>6.01586</v>
      </c>
      <c r="N19" s="5" t="str">
        <f t="shared" si="2"/>
        <v>未买</v>
      </c>
      <c r="U19" s="20"/>
      <c r="V19" s="13"/>
      <c r="W19" s="5"/>
    </row>
    <row r="20" spans="1:23">
      <c r="A20"/>
      <c r="B20"/>
      <c r="D20" s="5"/>
      <c r="E20" s="5"/>
      <c r="H20" s="10">
        <v>18</v>
      </c>
      <c r="I20">
        <v>128087</v>
      </c>
      <c r="J20" t="s">
        <v>17</v>
      </c>
      <c r="K20">
        <v>125.08</v>
      </c>
      <c r="L20" s="20">
        <v>0.10710000000000001</v>
      </c>
      <c r="M20" s="13">
        <v>6.4429540000000003</v>
      </c>
      <c r="N20" s="5" t="str">
        <f t="shared" si="2"/>
        <v>未买</v>
      </c>
      <c r="U20" s="20"/>
      <c r="V20" s="13"/>
      <c r="W20" s="5"/>
    </row>
    <row r="21" spans="1:23">
      <c r="A21"/>
      <c r="B21"/>
      <c r="D21" s="5"/>
      <c r="E21" s="5"/>
      <c r="I21"/>
      <c r="J21"/>
      <c r="K21"/>
      <c r="L21" s="20"/>
      <c r="M21" s="13"/>
      <c r="N21" s="5"/>
      <c r="U21" s="20"/>
      <c r="V21" s="13"/>
      <c r="W21" s="5"/>
    </row>
    <row r="22" spans="1:23">
      <c r="A22"/>
      <c r="B22"/>
      <c r="D22" s="5"/>
      <c r="E22" s="5"/>
      <c r="I22"/>
      <c r="J22"/>
      <c r="K22"/>
      <c r="L22" s="20"/>
      <c r="M22" s="13"/>
      <c r="N22" s="5"/>
      <c r="U22" s="20"/>
      <c r="V22" s="13"/>
      <c r="W22" s="5"/>
    </row>
    <row r="23" spans="1:23">
      <c r="A23" s="1"/>
      <c r="B23" s="1"/>
      <c r="D23" s="5"/>
      <c r="E23" s="5"/>
      <c r="I23"/>
      <c r="J23"/>
      <c r="K23"/>
      <c r="L23" s="20"/>
      <c r="M23" s="13"/>
      <c r="N23" s="5"/>
      <c r="U23" s="20"/>
      <c r="V23" s="13"/>
      <c r="W23" s="5"/>
    </row>
    <row r="24" spans="1:23">
      <c r="A24" s="1"/>
      <c r="B24" s="1"/>
      <c r="D24" s="5"/>
      <c r="E24" s="5"/>
      <c r="I24"/>
      <c r="J24"/>
      <c r="K24"/>
      <c r="L24" s="20"/>
      <c r="M24" s="13"/>
      <c r="N24" s="5"/>
      <c r="U24" s="20"/>
      <c r="V24" s="13"/>
      <c r="W24" s="5"/>
    </row>
    <row r="25" spans="1:23">
      <c r="A25" s="1"/>
      <c r="B25" s="1"/>
      <c r="D25" s="5"/>
      <c r="E25" s="5"/>
      <c r="I25"/>
      <c r="J25"/>
      <c r="K25"/>
      <c r="L25" s="20"/>
      <c r="M25" s="13"/>
      <c r="N25" s="5"/>
      <c r="U25" s="20"/>
      <c r="V25" s="13"/>
      <c r="W25" s="5"/>
    </row>
    <row r="26" spans="1:23">
      <c r="A26" s="1"/>
      <c r="B26" s="1"/>
      <c r="D26" s="5"/>
      <c r="E26" s="5"/>
      <c r="I26"/>
      <c r="J26"/>
      <c r="K26"/>
      <c r="L26" s="20"/>
      <c r="M26" s="13"/>
      <c r="N26" s="5"/>
      <c r="U26" s="20"/>
      <c r="V26" s="13"/>
      <c r="W26" s="5"/>
    </row>
    <row r="27" spans="1:23">
      <c r="A27" s="1"/>
      <c r="B27" s="1"/>
      <c r="D27" s="5"/>
      <c r="E27" s="5"/>
      <c r="I27"/>
      <c r="J27"/>
      <c r="K27"/>
      <c r="L27" s="20"/>
      <c r="M27" s="13"/>
      <c r="N27" s="5"/>
      <c r="U27" s="20"/>
      <c r="V27" s="13"/>
      <c r="W27" s="5"/>
    </row>
    <row r="28" spans="1:23">
      <c r="A28" s="1"/>
      <c r="B28" s="1"/>
      <c r="D28" s="5"/>
      <c r="E28" s="5"/>
      <c r="I28"/>
      <c r="J28"/>
      <c r="K28"/>
      <c r="L28" s="20"/>
      <c r="M28" s="13"/>
      <c r="N28" s="5"/>
      <c r="U28" s="20"/>
      <c r="V28" s="13"/>
      <c r="W28" s="5"/>
    </row>
    <row r="29" spans="1:23">
      <c r="A29" s="1"/>
      <c r="B29" s="1"/>
      <c r="D29" s="5"/>
      <c r="E29" s="5"/>
      <c r="I29"/>
      <c r="J29"/>
      <c r="K29"/>
      <c r="L29" s="20"/>
      <c r="M29" s="13"/>
      <c r="N29" s="5"/>
      <c r="U29" s="20"/>
      <c r="V29" s="13"/>
      <c r="W29" s="5"/>
    </row>
    <row r="30" spans="1:23">
      <c r="A30" s="1"/>
      <c r="B30" s="1"/>
      <c r="D30" s="5"/>
      <c r="E30" s="5"/>
      <c r="I30"/>
      <c r="J30"/>
      <c r="K30"/>
      <c r="L30" s="20"/>
      <c r="M30" s="13"/>
      <c r="N30" s="5"/>
      <c r="U30" s="20"/>
      <c r="V30" s="13"/>
      <c r="W30" s="5"/>
    </row>
    <row r="31" spans="1:23">
      <c r="A31" s="1"/>
      <c r="B31" s="1"/>
      <c r="D31" s="5"/>
      <c r="E31" s="5"/>
      <c r="I31"/>
      <c r="J31"/>
      <c r="K31"/>
      <c r="L31" s="20"/>
      <c r="M31" s="13"/>
      <c r="N31" s="5"/>
      <c r="U31" s="20"/>
      <c r="V31" s="13"/>
      <c r="W31" s="5"/>
    </row>
    <row r="32" spans="1:23">
      <c r="A32" s="1"/>
      <c r="B32" s="1"/>
      <c r="D32" s="5"/>
      <c r="E32" s="5"/>
      <c r="I32"/>
      <c r="J32"/>
      <c r="K32"/>
      <c r="L32" s="20"/>
      <c r="M32" s="13"/>
      <c r="N32" s="5"/>
      <c r="U32" s="20"/>
      <c r="V32" s="13"/>
      <c r="W32" s="5"/>
    </row>
    <row r="33" spans="1:23">
      <c r="A33" s="1"/>
      <c r="B33" s="1"/>
      <c r="D33" s="5"/>
      <c r="E33" s="5"/>
      <c r="I33"/>
      <c r="J33"/>
      <c r="K33"/>
      <c r="L33" s="20"/>
      <c r="M33" s="13"/>
      <c r="N33" s="5"/>
      <c r="U33" s="20"/>
      <c r="V33" s="13"/>
      <c r="W33" s="5"/>
    </row>
    <row r="34" spans="1:23">
      <c r="A34" s="1"/>
      <c r="B34" s="1"/>
      <c r="D34" s="5"/>
      <c r="E34" s="5"/>
      <c r="I34"/>
      <c r="J34"/>
      <c r="K34"/>
      <c r="L34" s="20"/>
      <c r="M34" s="13"/>
      <c r="N34" s="5"/>
      <c r="U34" s="20"/>
      <c r="V34" s="13"/>
      <c r="W34" s="5"/>
    </row>
    <row r="35" spans="1:23">
      <c r="A35" s="1"/>
      <c r="B35" s="1"/>
      <c r="D35" s="5"/>
      <c r="E35" s="5"/>
      <c r="I35"/>
      <c r="J35"/>
      <c r="K35"/>
      <c r="L35" s="20"/>
      <c r="M35" s="13"/>
      <c r="N35" s="5"/>
      <c r="U35" s="20"/>
      <c r="V35" s="13"/>
      <c r="W35" s="5"/>
    </row>
    <row r="36" spans="1:23">
      <c r="A36" s="1"/>
      <c r="B36" s="1"/>
      <c r="D36" s="5"/>
      <c r="E36" s="5"/>
      <c r="I36"/>
      <c r="J36"/>
      <c r="K36"/>
      <c r="L36" s="20"/>
      <c r="M36" s="13"/>
      <c r="N36" s="5"/>
      <c r="U36" s="20"/>
      <c r="V36" s="13"/>
      <c r="W36" s="5"/>
    </row>
    <row r="37" spans="1:23">
      <c r="A37" s="1"/>
      <c r="B37" s="1"/>
      <c r="D37" s="5"/>
      <c r="E37" s="5"/>
      <c r="I37"/>
      <c r="J37"/>
      <c r="K37"/>
      <c r="L37" s="20"/>
      <c r="M37" s="13"/>
      <c r="N37" s="5"/>
      <c r="U37" s="20"/>
      <c r="V37" s="13"/>
      <c r="W37" s="5"/>
    </row>
    <row r="38" spans="1:23">
      <c r="A38" s="1"/>
      <c r="B38" s="1"/>
      <c r="D38" s="5"/>
      <c r="E38" s="5"/>
      <c r="I38"/>
      <c r="J38"/>
      <c r="K38"/>
      <c r="L38" s="20"/>
      <c r="M38" s="13"/>
      <c r="N38" s="5"/>
      <c r="U38" s="20"/>
      <c r="V38" s="13"/>
      <c r="W38" s="5"/>
    </row>
    <row r="39" spans="1:23">
      <c r="A39" s="1"/>
      <c r="B39" s="1"/>
      <c r="D39" s="5"/>
      <c r="E39" s="5"/>
      <c r="I39"/>
      <c r="J39"/>
      <c r="K39"/>
      <c r="L39" s="20"/>
      <c r="M39" s="13"/>
      <c r="N39" s="5"/>
      <c r="U39" s="20"/>
      <c r="V39" s="13"/>
      <c r="W39" s="5"/>
    </row>
    <row r="40" spans="1:23">
      <c r="A40" s="1"/>
      <c r="B40" s="1"/>
      <c r="D40" s="5"/>
      <c r="E40" s="5"/>
      <c r="I40"/>
      <c r="J40"/>
      <c r="K40"/>
      <c r="L40" s="20"/>
      <c r="M40" s="13"/>
      <c r="N40" s="5"/>
      <c r="U40" s="20"/>
      <c r="V40" s="13"/>
      <c r="W40" s="5"/>
    </row>
    <row r="41" spans="1:23">
      <c r="D41" s="5"/>
      <c r="E41" s="5"/>
      <c r="I41"/>
      <c r="J41"/>
      <c r="K41"/>
      <c r="L41" s="20"/>
      <c r="M41" s="13"/>
      <c r="N41" s="5"/>
      <c r="U41" s="20"/>
      <c r="V41" s="13"/>
      <c r="W41" s="5"/>
    </row>
    <row r="42" spans="1:23">
      <c r="D42" s="5"/>
      <c r="E42" s="5"/>
      <c r="I42"/>
      <c r="J42"/>
      <c r="K42"/>
      <c r="L42" s="20"/>
      <c r="M42" s="13"/>
      <c r="N42" s="5"/>
      <c r="U42" s="20"/>
      <c r="V42" s="13"/>
      <c r="W42" s="5"/>
    </row>
    <row r="43" spans="1:23">
      <c r="D43" s="5"/>
      <c r="E43" s="5"/>
      <c r="I43"/>
      <c r="J43"/>
      <c r="K43"/>
      <c r="L43" s="20"/>
      <c r="M43" s="13"/>
      <c r="N43" s="5"/>
      <c r="U43" s="20"/>
      <c r="V43" s="13"/>
      <c r="W43" s="5"/>
    </row>
    <row r="44" spans="1:23">
      <c r="D44" s="5"/>
      <c r="E44" s="5"/>
      <c r="N44" s="5"/>
      <c r="W44" s="5"/>
    </row>
    <row r="45" spans="1:23">
      <c r="D45" s="5"/>
      <c r="E45" s="5"/>
      <c r="N45" s="5"/>
      <c r="W45" s="5"/>
    </row>
    <row r="46" spans="1:23">
      <c r="D46" s="5"/>
      <c r="E46" s="5"/>
      <c r="N46" s="5"/>
      <c r="W46" s="5"/>
    </row>
    <row r="47" spans="1:23">
      <c r="D47" s="5"/>
      <c r="E47" s="5"/>
      <c r="N47" s="5"/>
      <c r="W47" s="5"/>
    </row>
    <row r="48" spans="1:23">
      <c r="D48" s="5"/>
      <c r="E48" s="5"/>
      <c r="N48" s="5"/>
      <c r="W48" s="5"/>
    </row>
    <row r="49" spans="4:23">
      <c r="D49" s="5"/>
      <c r="E49" s="5"/>
      <c r="N49" s="5"/>
      <c r="W49" s="5"/>
    </row>
    <row r="50" spans="4:23">
      <c r="D50" s="5"/>
      <c r="E50" s="5"/>
      <c r="N50" s="5"/>
      <c r="W50" s="5"/>
    </row>
    <row r="51" spans="4:23">
      <c r="D51" s="5"/>
      <c r="E51" s="5"/>
      <c r="N51" s="5"/>
      <c r="W51" s="5"/>
    </row>
    <row r="52" spans="4:23">
      <c r="D52" s="5"/>
      <c r="E52" s="5"/>
      <c r="N52" s="5"/>
      <c r="W52" s="5"/>
    </row>
    <row r="53" spans="4:23">
      <c r="D53" s="5"/>
      <c r="E53" s="5"/>
    </row>
    <row r="54" spans="4:23">
      <c r="D54" s="5"/>
      <c r="E54" s="5"/>
    </row>
    <row r="55" spans="4:23">
      <c r="D55" s="5"/>
      <c r="E55" s="5"/>
    </row>
    <row r="56" spans="4:23">
      <c r="D56" s="5"/>
      <c r="E56" s="5"/>
    </row>
  </sheetData>
  <autoFilter ref="A2:W43" xr:uid="{00000000-0009-0000-0000-000002000000}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fresh_premium_rate_convertible_bond">
                <anchor moveWithCells="1" sizeWithCells="1">
                  <from>
                    <xdr:col>14</xdr:col>
                    <xdr:colOff>266700</xdr:colOff>
                    <xdr:row>0</xdr:row>
                    <xdr:rowOff>0</xdr:rowOff>
                  </from>
                  <to>
                    <xdr:col>15</xdr:col>
                    <xdr:colOff>514350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refresh_multifactor1_convertible_bond">
                <anchor moveWithCells="1" sizeWithCells="1">
                  <from>
                    <xdr:col>23</xdr:col>
                    <xdr:colOff>177800</xdr:colOff>
                    <xdr:row>0</xdr:row>
                    <xdr:rowOff>0</xdr:rowOff>
                  </from>
                  <to>
                    <xdr:col>24</xdr:col>
                    <xdr:colOff>425450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X52"/>
  <sheetViews>
    <sheetView zoomScaleNormal="100" workbookViewId="0">
      <pane ySplit="2" topLeftCell="A3" activePane="bottomLeft" state="frozen"/>
      <selection pane="bottomLeft" activeCell="C18" sqref="C18"/>
    </sheetView>
  </sheetViews>
  <sheetFormatPr defaultColWidth="9" defaultRowHeight="15.5"/>
  <cols>
    <col min="1" max="2" width="12.25" style="7" bestFit="1" customWidth="1"/>
    <col min="3" max="3" width="15.25" style="7" customWidth="1"/>
    <col min="4" max="4" width="18.58203125" style="46" customWidth="1"/>
    <col min="5" max="5" width="25.9140625" style="46" customWidth="1"/>
    <col min="6" max="7" width="9" style="7"/>
    <col min="8" max="8" width="4.08203125" style="10" customWidth="1"/>
    <col min="9" max="10" width="12.25" style="7" bestFit="1" customWidth="1"/>
    <col min="11" max="11" width="8.5" style="7" bestFit="1" customWidth="1"/>
    <col min="12" max="12" width="10.08203125" style="25" bestFit="1" customWidth="1"/>
    <col min="13" max="13" width="10.08203125" style="7" customWidth="1"/>
    <col min="14" max="14" width="10.08203125" style="16" customWidth="1"/>
    <col min="15" max="15" width="17.1640625" style="7" customWidth="1"/>
    <col min="16" max="17" width="9" style="7"/>
    <col min="18" max="18" width="3.75" style="10" customWidth="1"/>
    <col min="19" max="20" width="12.25" style="7" bestFit="1" customWidth="1"/>
    <col min="21" max="21" width="8.5" style="7" bestFit="1" customWidth="1"/>
    <col min="22" max="22" width="10.08203125" style="25" bestFit="1" customWidth="1"/>
    <col min="23" max="23" width="10.08203125" style="16" customWidth="1"/>
    <col min="24" max="24" width="18.5" style="7" customWidth="1"/>
    <col min="25" max="16384" width="9" style="7"/>
  </cols>
  <sheetData>
    <row r="1" spans="1:24">
      <c r="A1" s="8" t="s">
        <v>69</v>
      </c>
      <c r="B1" s="8"/>
      <c r="C1" s="21"/>
      <c r="D1" s="43"/>
      <c r="E1" s="43"/>
      <c r="I1" s="8" t="s">
        <v>26</v>
      </c>
      <c r="J1" s="8"/>
      <c r="K1" s="17" t="s">
        <v>27</v>
      </c>
      <c r="L1" s="23"/>
      <c r="M1" s="17"/>
      <c r="N1" s="17"/>
      <c r="O1" s="17"/>
      <c r="P1" s="17"/>
      <c r="S1" s="8" t="s">
        <v>35</v>
      </c>
      <c r="V1" s="7"/>
      <c r="W1" s="7"/>
    </row>
    <row r="2" spans="1:24" s="6" customFormat="1">
      <c r="A2" s="6" t="s">
        <v>16</v>
      </c>
      <c r="B2" s="6" t="s">
        <v>15</v>
      </c>
      <c r="C2" s="6" t="s">
        <v>21</v>
      </c>
      <c r="D2" s="44" t="s">
        <v>67</v>
      </c>
      <c r="E2" s="44" t="s">
        <v>68</v>
      </c>
      <c r="H2" s="11"/>
      <c r="I2" s="6" t="s">
        <v>22</v>
      </c>
      <c r="J2" s="6" t="s">
        <v>23</v>
      </c>
      <c r="K2" s="6" t="s">
        <v>56</v>
      </c>
      <c r="L2" s="24" t="s">
        <v>57</v>
      </c>
      <c r="M2" s="6" t="s">
        <v>59</v>
      </c>
      <c r="N2" s="15" t="s">
        <v>58</v>
      </c>
      <c r="O2" s="4" t="s">
        <v>65</v>
      </c>
      <c r="R2" s="11"/>
      <c r="S2" s="6" t="s">
        <v>78</v>
      </c>
      <c r="T2" s="6" t="s">
        <v>79</v>
      </c>
      <c r="U2" s="6" t="s">
        <v>87</v>
      </c>
      <c r="V2" s="24" t="s">
        <v>57</v>
      </c>
      <c r="W2" s="15" t="s">
        <v>106</v>
      </c>
      <c r="X2" s="4" t="s">
        <v>65</v>
      </c>
    </row>
    <row r="3" spans="1:24" s="3" customFormat="1">
      <c r="A3" s="57">
        <v>123236</v>
      </c>
      <c r="B3" t="s">
        <v>122</v>
      </c>
      <c r="C3" s="3">
        <f>VLOOKUP(A3,'RealTimeData - Convertible Bond'!$B$7:$D$25,3,FALSE)</f>
        <v>120.348</v>
      </c>
      <c r="D3" s="45" t="e">
        <f t="shared" ref="D3:D16" si="0">MATCH(A3,$I$1:$I$290,0)-2</f>
        <v>#N/A</v>
      </c>
      <c r="E3" s="45" t="e">
        <f t="shared" ref="E3:E16" si="1">MATCH(A3,$S$1:$S$44,0)-2</f>
        <v>#N/A</v>
      </c>
      <c r="H3" s="12">
        <v>1</v>
      </c>
      <c r="I3">
        <v>113578</v>
      </c>
      <c r="J3" t="s">
        <v>38</v>
      </c>
      <c r="K3">
        <v>96.456000000000003</v>
      </c>
      <c r="L3" s="20">
        <v>1.8700000000000001E-2</v>
      </c>
      <c r="M3">
        <v>98.326000000000008</v>
      </c>
      <c r="N3" s="13">
        <v>3.8259099999999999</v>
      </c>
      <c r="O3" s="5" t="str">
        <f>IF(ISNA(MATCH(I3,$A$3:$A$290,0)),"No","Yes")</f>
        <v>No</v>
      </c>
      <c r="R3" s="12">
        <v>1</v>
      </c>
      <c r="S3" s="7">
        <v>123092</v>
      </c>
      <c r="T3" s="7" t="s">
        <v>94</v>
      </c>
      <c r="U3" s="7">
        <v>142.61699999999999</v>
      </c>
      <c r="V3" s="20">
        <v>3.27E-2</v>
      </c>
      <c r="W3" s="13">
        <v>398.8193</v>
      </c>
      <c r="X3" s="5" t="str">
        <f t="shared" ref="X3:X11" si="2">IF(ISNA(MATCH(S3,$A$3:$A$290,0)),"No","Yes")</f>
        <v>No</v>
      </c>
    </row>
    <row r="4" spans="1:24" s="3" customFormat="1">
      <c r="A4" s="57">
        <v>127101</v>
      </c>
      <c r="B4" t="s">
        <v>124</v>
      </c>
      <c r="C4" s="3">
        <f>VLOOKUP(A4,'RealTimeData - Convertible Bond'!$B$7:$D$25,3,FALSE)</f>
        <v>105.26</v>
      </c>
      <c r="D4" s="45" t="e">
        <f t="shared" si="0"/>
        <v>#N/A</v>
      </c>
      <c r="E4" s="45" t="e">
        <f t="shared" si="1"/>
        <v>#N/A</v>
      </c>
      <c r="H4" s="12">
        <v>2</v>
      </c>
      <c r="I4">
        <v>113595</v>
      </c>
      <c r="J4" t="s">
        <v>18</v>
      </c>
      <c r="K4">
        <v>108.999</v>
      </c>
      <c r="L4" s="20">
        <v>2.5899999999999999E-2</v>
      </c>
      <c r="M4">
        <v>111.589</v>
      </c>
      <c r="N4" s="13">
        <v>2.7068099999999999</v>
      </c>
      <c r="O4" s="5" t="str">
        <f t="shared" ref="O4:O7" si="3">IF(ISNA(MATCH(I4,$A$3:$A$290,0)),"No","Yes")</f>
        <v>No</v>
      </c>
      <c r="R4" s="12">
        <v>2</v>
      </c>
      <c r="S4" s="7">
        <v>127014</v>
      </c>
      <c r="T4" s="7" t="s">
        <v>95</v>
      </c>
      <c r="U4" s="7">
        <v>148.05000000000001</v>
      </c>
      <c r="V4" s="20">
        <v>8.8200000000000001E-2</v>
      </c>
      <c r="W4" s="13">
        <v>532.13419999999996</v>
      </c>
      <c r="X4" s="5" t="str">
        <f t="shared" si="2"/>
        <v>No</v>
      </c>
    </row>
    <row r="5" spans="1:24">
      <c r="A5" s="57">
        <v>127091</v>
      </c>
      <c r="B5" t="s">
        <v>126</v>
      </c>
      <c r="C5" s="3">
        <f>VLOOKUP(A5,'RealTimeData - Convertible Bond'!$B$7:$D$25,3,FALSE)</f>
        <v>108.39100000000001</v>
      </c>
      <c r="D5" s="45" t="e">
        <f t="shared" si="0"/>
        <v>#N/A</v>
      </c>
      <c r="E5" s="45" t="e">
        <f t="shared" si="1"/>
        <v>#N/A</v>
      </c>
      <c r="H5" s="12">
        <v>3</v>
      </c>
      <c r="I5">
        <v>123141</v>
      </c>
      <c r="J5" t="s">
        <v>20</v>
      </c>
      <c r="K5">
        <v>130.43600000000001</v>
      </c>
      <c r="L5" s="20">
        <v>9.2699999999999991E-2</v>
      </c>
      <c r="M5">
        <v>139.70600000000002</v>
      </c>
      <c r="N5" s="13">
        <v>3.2100430000000002</v>
      </c>
      <c r="O5" s="5" t="str">
        <f t="shared" si="3"/>
        <v>No</v>
      </c>
      <c r="R5" s="12">
        <v>3</v>
      </c>
      <c r="S5" s="7">
        <v>123127</v>
      </c>
      <c r="T5" s="7" t="s">
        <v>96</v>
      </c>
      <c r="U5" s="7">
        <v>130.65199999999999</v>
      </c>
      <c r="V5" s="20">
        <v>9.5899999999999999E-2</v>
      </c>
      <c r="W5" s="13">
        <v>399.67689999999999</v>
      </c>
      <c r="X5" s="5" t="str">
        <f t="shared" si="2"/>
        <v>No</v>
      </c>
    </row>
    <row r="6" spans="1:24">
      <c r="A6" s="57">
        <v>118035</v>
      </c>
      <c r="B6" t="s">
        <v>128</v>
      </c>
      <c r="C6" s="3">
        <f>VLOOKUP(A6,'RealTimeData - Convertible Bond'!$B$7:$D$25,3,FALSE)</f>
        <v>102.956</v>
      </c>
      <c r="D6" s="45" t="e">
        <f t="shared" si="0"/>
        <v>#N/A</v>
      </c>
      <c r="E6" s="45" t="e">
        <f t="shared" si="1"/>
        <v>#N/A</v>
      </c>
      <c r="H6" s="12">
        <v>4</v>
      </c>
      <c r="I6">
        <v>128049</v>
      </c>
      <c r="J6" t="s">
        <v>60</v>
      </c>
      <c r="K6">
        <v>133.24700000000001</v>
      </c>
      <c r="L6" s="20">
        <v>7.2099999999999997E-2</v>
      </c>
      <c r="M6">
        <v>140.45700000000002</v>
      </c>
      <c r="N6" s="13">
        <v>3.6079189999999999</v>
      </c>
      <c r="O6" s="5" t="str">
        <f t="shared" si="3"/>
        <v>No</v>
      </c>
      <c r="R6" s="12">
        <v>4</v>
      </c>
      <c r="S6" s="7">
        <v>110055</v>
      </c>
      <c r="T6" s="7" t="s">
        <v>98</v>
      </c>
      <c r="U6" s="7">
        <v>139.66200000000001</v>
      </c>
      <c r="V6" s="20">
        <v>0.10580000000000001</v>
      </c>
      <c r="W6" s="13">
        <v>243.215</v>
      </c>
      <c r="X6" s="5" t="str">
        <f t="shared" si="2"/>
        <v>No</v>
      </c>
    </row>
    <row r="7" spans="1:24">
      <c r="A7" s="57">
        <v>113665</v>
      </c>
      <c r="B7" t="s">
        <v>130</v>
      </c>
      <c r="C7" s="3">
        <f>VLOOKUP(A7,'RealTimeData - Convertible Bond'!$B$7:$D$25,3,FALSE)</f>
        <v>96.8</v>
      </c>
      <c r="D7" s="45" t="e">
        <f t="shared" si="0"/>
        <v>#N/A</v>
      </c>
      <c r="E7" s="45" t="e">
        <f t="shared" si="1"/>
        <v>#N/A</v>
      </c>
      <c r="H7" s="12">
        <v>5</v>
      </c>
      <c r="I7">
        <v>113519</v>
      </c>
      <c r="J7" t="s">
        <v>63</v>
      </c>
      <c r="K7">
        <v>135.1</v>
      </c>
      <c r="L7" s="20">
        <v>6.9900000000000004E-2</v>
      </c>
      <c r="M7">
        <v>142.09</v>
      </c>
      <c r="N7" s="13">
        <v>3.93275</v>
      </c>
      <c r="O7" s="5" t="str">
        <f t="shared" si="3"/>
        <v>No</v>
      </c>
      <c r="R7" s="12">
        <v>5</v>
      </c>
      <c r="S7" s="7">
        <v>118021</v>
      </c>
      <c r="T7" s="7" t="s">
        <v>100</v>
      </c>
      <c r="U7" s="7">
        <v>139.833</v>
      </c>
      <c r="V7" s="20">
        <v>0.11199999999999999</v>
      </c>
      <c r="W7" s="13">
        <v>288.608</v>
      </c>
      <c r="X7" s="5" t="str">
        <f t="shared" si="2"/>
        <v>No</v>
      </c>
    </row>
    <row r="8" spans="1:24">
      <c r="A8" s="57">
        <v>127089</v>
      </c>
      <c r="B8" t="s">
        <v>132</v>
      </c>
      <c r="C8" s="3">
        <f>VLOOKUP(A8,'RealTimeData - Convertible Bond'!$B$7:$D$25,3,FALSE)</f>
        <v>102.35</v>
      </c>
      <c r="D8" s="45" t="e">
        <f t="shared" si="0"/>
        <v>#N/A</v>
      </c>
      <c r="E8" s="45" t="e">
        <f t="shared" si="1"/>
        <v>#N/A</v>
      </c>
      <c r="H8" s="12"/>
      <c r="I8"/>
      <c r="J8"/>
      <c r="K8"/>
      <c r="L8" s="20"/>
      <c r="M8"/>
      <c r="N8" s="13"/>
      <c r="O8" s="5"/>
      <c r="R8" s="12">
        <v>6</v>
      </c>
      <c r="S8" s="7">
        <v>128123</v>
      </c>
      <c r="T8" s="7" t="s">
        <v>101</v>
      </c>
      <c r="U8" s="7">
        <v>126.11199999999999</v>
      </c>
      <c r="V8" s="20">
        <v>0.13089999999999999</v>
      </c>
      <c r="W8" s="13">
        <v>319.91480000000001</v>
      </c>
      <c r="X8" s="5" t="str">
        <f t="shared" si="2"/>
        <v>No</v>
      </c>
    </row>
    <row r="9" spans="1:24" s="3" customFormat="1">
      <c r="A9" s="57">
        <v>127032</v>
      </c>
      <c r="B9" t="s">
        <v>120</v>
      </c>
      <c r="C9" s="3">
        <f>VLOOKUP(A9,'RealTimeData - Convertible Bond'!$B$7:$D$25,3,FALSE)</f>
        <v>119.06</v>
      </c>
      <c r="D9" s="45" t="e">
        <f t="shared" si="0"/>
        <v>#N/A</v>
      </c>
      <c r="E9" s="45" t="e">
        <f t="shared" si="1"/>
        <v>#N/A</v>
      </c>
      <c r="H9" s="12"/>
      <c r="I9"/>
      <c r="J9"/>
      <c r="K9"/>
      <c r="L9" s="20"/>
      <c r="M9"/>
      <c r="N9" s="13"/>
      <c r="O9" s="5"/>
      <c r="R9" s="12">
        <v>7</v>
      </c>
      <c r="S9" s="7">
        <v>123188</v>
      </c>
      <c r="T9" s="7" t="s">
        <v>102</v>
      </c>
      <c r="U9" s="7">
        <v>129.00800000000001</v>
      </c>
      <c r="V9" s="20">
        <v>0.13269999999999998</v>
      </c>
      <c r="W9" s="13">
        <v>694.9348</v>
      </c>
      <c r="X9" s="5" t="str">
        <f t="shared" si="2"/>
        <v>No</v>
      </c>
    </row>
    <row r="10" spans="1:24">
      <c r="A10" s="57">
        <v>113066</v>
      </c>
      <c r="B10" t="s">
        <v>118</v>
      </c>
      <c r="C10" s="3">
        <f>VLOOKUP(A10,'RealTimeData - Convertible Bond'!$B$7:$D$10,3,FALSE)</f>
        <v>143.83799999999999</v>
      </c>
      <c r="D10" s="45" t="e">
        <f t="shared" si="0"/>
        <v>#N/A</v>
      </c>
      <c r="E10" s="45" t="e">
        <f t="shared" si="1"/>
        <v>#N/A</v>
      </c>
      <c r="H10" s="12"/>
      <c r="I10"/>
      <c r="J10"/>
      <c r="K10"/>
      <c r="L10" s="20"/>
      <c r="M10"/>
      <c r="N10" s="13"/>
      <c r="O10" s="5"/>
      <c r="R10" s="12">
        <v>8</v>
      </c>
      <c r="S10" s="7">
        <v>127065</v>
      </c>
      <c r="T10" s="7" t="s">
        <v>103</v>
      </c>
      <c r="U10" s="7">
        <v>146.5</v>
      </c>
      <c r="V10" s="20">
        <v>0.13869999999999999</v>
      </c>
      <c r="W10" s="13">
        <v>186.77539999999999</v>
      </c>
      <c r="X10" s="5" t="str">
        <f t="shared" si="2"/>
        <v>No</v>
      </c>
    </row>
    <row r="11" spans="1:24">
      <c r="A11"/>
      <c r="B11"/>
      <c r="C11" s="3"/>
      <c r="D11" s="45"/>
      <c r="E11" s="45"/>
      <c r="H11" s="12"/>
      <c r="I11"/>
      <c r="J11"/>
      <c r="K11"/>
      <c r="L11" s="20"/>
      <c r="M11"/>
      <c r="N11" s="13"/>
      <c r="O11" s="5"/>
      <c r="R11" s="12">
        <v>9</v>
      </c>
      <c r="S11" s="7">
        <v>113534</v>
      </c>
      <c r="T11" s="7" t="s">
        <v>104</v>
      </c>
      <c r="U11" s="7">
        <v>127.931</v>
      </c>
      <c r="V11" s="20">
        <v>0.1489</v>
      </c>
      <c r="W11" s="13">
        <v>334.14</v>
      </c>
      <c r="X11" s="5" t="str">
        <f t="shared" si="2"/>
        <v>No</v>
      </c>
    </row>
    <row r="12" spans="1:24">
      <c r="A12"/>
      <c r="B12"/>
      <c r="C12" s="3"/>
      <c r="D12" s="45"/>
      <c r="E12" s="45"/>
      <c r="H12" s="12"/>
      <c r="I12"/>
      <c r="J12"/>
      <c r="K12"/>
      <c r="L12" s="20"/>
      <c r="M12"/>
      <c r="N12" s="13"/>
      <c r="O12" s="5"/>
      <c r="R12" s="12"/>
      <c r="V12" s="20"/>
      <c r="W12" s="13"/>
      <c r="X12" s="5"/>
    </row>
    <row r="13" spans="1:24">
      <c r="A13"/>
      <c r="B13"/>
      <c r="C13" s="3"/>
      <c r="D13" s="45"/>
      <c r="E13" s="45"/>
      <c r="H13" s="12"/>
      <c r="I13"/>
      <c r="J13"/>
      <c r="K13"/>
      <c r="L13" s="20"/>
      <c r="M13"/>
      <c r="N13" s="13"/>
      <c r="O13" s="5"/>
      <c r="R13" s="12"/>
      <c r="V13" s="20"/>
      <c r="W13" s="13"/>
      <c r="X13" s="5"/>
    </row>
    <row r="14" spans="1:24">
      <c r="A14"/>
      <c r="B14"/>
      <c r="C14" s="3"/>
      <c r="D14" s="45"/>
      <c r="E14" s="45"/>
      <c r="H14" s="12"/>
      <c r="I14"/>
      <c r="J14"/>
      <c r="K14"/>
      <c r="L14" s="20"/>
      <c r="M14"/>
      <c r="N14" s="13"/>
      <c r="O14" s="5"/>
      <c r="R14" s="12"/>
      <c r="V14" s="20"/>
      <c r="W14" s="13"/>
      <c r="X14" s="5"/>
    </row>
    <row r="15" spans="1:24">
      <c r="A15"/>
      <c r="B15"/>
      <c r="C15" s="3"/>
      <c r="D15" s="45"/>
      <c r="E15" s="45"/>
      <c r="H15" s="12"/>
      <c r="I15"/>
      <c r="J15"/>
      <c r="K15"/>
      <c r="L15" s="20"/>
      <c r="M15"/>
      <c r="N15" s="13"/>
      <c r="O15" s="5"/>
      <c r="R15" s="12"/>
      <c r="V15" s="20"/>
      <c r="W15" s="13"/>
      <c r="X15" s="5"/>
    </row>
    <row r="16" spans="1:24">
      <c r="A16"/>
      <c r="B16"/>
      <c r="C16" s="3"/>
      <c r="D16" s="45"/>
      <c r="E16" s="45"/>
      <c r="H16" s="12"/>
      <c r="I16"/>
      <c r="J16"/>
      <c r="K16"/>
      <c r="L16" s="20"/>
      <c r="M16"/>
      <c r="N16" s="13"/>
      <c r="O16" s="5"/>
      <c r="R16" s="12"/>
      <c r="V16" s="20"/>
      <c r="W16" s="13"/>
      <c r="X16" s="5"/>
    </row>
    <row r="17" spans="1:24">
      <c r="A17"/>
      <c r="B17"/>
      <c r="C17" s="3"/>
      <c r="D17" s="45"/>
      <c r="E17" s="45"/>
      <c r="H17" s="12"/>
      <c r="I17"/>
      <c r="J17"/>
      <c r="K17"/>
      <c r="L17" s="20"/>
      <c r="M17"/>
      <c r="N17" s="13"/>
      <c r="O17" s="5"/>
      <c r="R17" s="12"/>
      <c r="V17" s="20"/>
      <c r="W17" s="13"/>
      <c r="X17" s="5"/>
    </row>
    <row r="18" spans="1:24">
      <c r="A18"/>
      <c r="B18"/>
      <c r="C18" s="3"/>
      <c r="D18" s="45"/>
      <c r="E18" s="45"/>
      <c r="H18" s="12"/>
      <c r="I18"/>
      <c r="J18"/>
      <c r="K18"/>
      <c r="L18" s="20"/>
      <c r="M18"/>
      <c r="N18" s="13"/>
      <c r="O18" s="5"/>
      <c r="R18" s="12"/>
      <c r="V18" s="20"/>
      <c r="W18" s="13"/>
      <c r="X18" s="5"/>
    </row>
    <row r="19" spans="1:24">
      <c r="A19"/>
      <c r="B19"/>
      <c r="C19" s="3"/>
      <c r="D19" s="45"/>
      <c r="E19" s="45"/>
      <c r="H19" s="12"/>
      <c r="I19"/>
      <c r="J19"/>
      <c r="K19"/>
      <c r="L19" s="20"/>
      <c r="M19"/>
      <c r="N19" s="13"/>
      <c r="O19" s="5"/>
      <c r="R19" s="12"/>
      <c r="V19" s="20"/>
      <c r="W19" s="13"/>
      <c r="X19" s="5"/>
    </row>
    <row r="20" spans="1:24">
      <c r="A20"/>
      <c r="B20"/>
      <c r="C20" s="3"/>
      <c r="D20" s="45"/>
      <c r="E20" s="45"/>
      <c r="H20" s="12"/>
      <c r="I20"/>
      <c r="J20"/>
      <c r="K20"/>
      <c r="L20" s="20"/>
      <c r="M20"/>
      <c r="N20" s="13"/>
      <c r="O20" s="5"/>
      <c r="R20" s="12"/>
      <c r="V20" s="20"/>
      <c r="W20" s="13"/>
      <c r="X20" s="5"/>
    </row>
    <row r="21" spans="1:24">
      <c r="A21"/>
      <c r="B21"/>
      <c r="C21" s="3"/>
      <c r="D21" s="45"/>
      <c r="E21" s="45"/>
      <c r="H21" s="12"/>
      <c r="I21"/>
      <c r="J21"/>
      <c r="K21"/>
      <c r="L21" s="20"/>
      <c r="M21"/>
      <c r="N21" s="13"/>
      <c r="O21" s="5"/>
      <c r="R21" s="12"/>
      <c r="V21" s="20"/>
      <c r="W21" s="13"/>
      <c r="X21" s="5"/>
    </row>
    <row r="22" spans="1:24">
      <c r="A22"/>
      <c r="B22"/>
      <c r="C22" s="3"/>
      <c r="D22" s="45"/>
      <c r="E22" s="45"/>
      <c r="H22" s="12"/>
      <c r="I22"/>
      <c r="J22"/>
      <c r="K22"/>
      <c r="L22" s="20"/>
      <c r="M22"/>
      <c r="N22" s="13"/>
      <c r="O22" s="5"/>
      <c r="R22" s="12"/>
      <c r="V22" s="20"/>
      <c r="W22" s="13"/>
      <c r="X22" s="5"/>
    </row>
    <row r="23" spans="1:24">
      <c r="C23" s="3"/>
      <c r="D23" s="45"/>
      <c r="E23" s="45"/>
      <c r="H23" s="12"/>
      <c r="I23"/>
      <c r="J23"/>
      <c r="K23"/>
      <c r="L23" s="20"/>
      <c r="M23"/>
      <c r="N23" s="13"/>
      <c r="O23" s="5"/>
      <c r="R23" s="12"/>
      <c r="V23" s="20"/>
      <c r="W23" s="13"/>
      <c r="X23" s="5"/>
    </row>
    <row r="24" spans="1:24">
      <c r="C24" s="3"/>
      <c r="D24" s="45"/>
      <c r="E24" s="45"/>
      <c r="H24" s="12"/>
      <c r="I24"/>
      <c r="J24"/>
      <c r="K24"/>
      <c r="L24" s="20"/>
      <c r="M24"/>
      <c r="N24" s="13"/>
      <c r="O24" s="5"/>
      <c r="R24" s="12"/>
      <c r="V24" s="20"/>
      <c r="W24" s="13"/>
      <c r="X24" s="5"/>
    </row>
    <row r="25" spans="1:24">
      <c r="C25" s="3"/>
      <c r="D25" s="45"/>
      <c r="E25" s="45"/>
      <c r="H25" s="12"/>
      <c r="I25"/>
      <c r="J25"/>
      <c r="K25"/>
      <c r="L25" s="20"/>
      <c r="M25"/>
      <c r="N25" s="13"/>
      <c r="O25" s="5"/>
      <c r="R25" s="12"/>
      <c r="V25" s="20"/>
      <c r="W25" s="13"/>
      <c r="X25" s="5"/>
    </row>
    <row r="26" spans="1:24">
      <c r="C26" s="3"/>
      <c r="D26" s="45"/>
      <c r="E26" s="45"/>
      <c r="H26" s="12"/>
      <c r="I26"/>
      <c r="J26"/>
      <c r="K26"/>
      <c r="L26" s="20"/>
      <c r="M26">
        <v>118021</v>
      </c>
      <c r="N26" s="13"/>
      <c r="O26" s="5"/>
      <c r="R26" s="12"/>
      <c r="V26" s="20"/>
      <c r="W26" s="13"/>
      <c r="X26" s="5"/>
    </row>
    <row r="27" spans="1:24">
      <c r="C27" s="3"/>
      <c r="D27" s="45"/>
      <c r="E27" s="45"/>
      <c r="H27" s="12"/>
      <c r="I27"/>
      <c r="J27"/>
      <c r="K27"/>
      <c r="L27" s="20"/>
      <c r="M27">
        <v>123194</v>
      </c>
      <c r="N27" s="13"/>
      <c r="O27" s="5"/>
      <c r="R27" s="12"/>
      <c r="V27" s="20"/>
      <c r="W27" s="13"/>
      <c r="X27" s="5"/>
    </row>
    <row r="28" spans="1:24">
      <c r="C28" s="3"/>
      <c r="D28" s="45"/>
      <c r="E28" s="45"/>
      <c r="H28" s="12"/>
      <c r="I28"/>
      <c r="J28"/>
      <c r="K28"/>
      <c r="L28" s="20"/>
      <c r="M28">
        <v>128123</v>
      </c>
      <c r="N28" s="13"/>
      <c r="O28" s="5"/>
      <c r="R28" s="12"/>
      <c r="V28" s="20"/>
      <c r="W28" s="13"/>
      <c r="X28" s="5"/>
    </row>
    <row r="29" spans="1:24">
      <c r="C29" s="3"/>
      <c r="D29" s="45"/>
      <c r="E29" s="45"/>
      <c r="H29" s="12"/>
      <c r="I29"/>
      <c r="J29"/>
      <c r="K29"/>
      <c r="L29" s="20"/>
      <c r="M29">
        <v>123188</v>
      </c>
      <c r="N29" s="13"/>
      <c r="O29" s="5"/>
      <c r="R29" s="12"/>
      <c r="V29" s="20"/>
      <c r="W29" s="13"/>
      <c r="X29" s="5"/>
    </row>
    <row r="30" spans="1:24">
      <c r="C30" s="3"/>
      <c r="D30" s="45"/>
      <c r="E30" s="45"/>
      <c r="H30" s="12"/>
      <c r="I30"/>
      <c r="J30"/>
      <c r="K30"/>
      <c r="L30" s="20"/>
      <c r="M30">
        <v>127065</v>
      </c>
      <c r="N30" s="13"/>
      <c r="O30" s="5"/>
      <c r="R30" s="12"/>
      <c r="V30" s="20"/>
      <c r="W30" s="13"/>
      <c r="X30" s="5"/>
    </row>
    <row r="31" spans="1:24">
      <c r="C31" s="3"/>
      <c r="D31" s="45"/>
      <c r="E31" s="45"/>
      <c r="H31" s="12"/>
      <c r="I31"/>
      <c r="J31"/>
      <c r="K31"/>
      <c r="L31" s="20"/>
      <c r="M31">
        <v>113534</v>
      </c>
      <c r="N31" s="13"/>
      <c r="O31" s="5"/>
      <c r="R31" s="12"/>
      <c r="V31" s="20"/>
      <c r="W31" s="13"/>
      <c r="X31" s="5"/>
    </row>
    <row r="32" spans="1:24">
      <c r="C32" s="3"/>
      <c r="D32" s="45"/>
      <c r="E32" s="45"/>
      <c r="H32" s="12"/>
      <c r="I32"/>
      <c r="J32"/>
      <c r="K32"/>
      <c r="L32" s="20"/>
      <c r="M32">
        <v>111017</v>
      </c>
      <c r="N32" s="13"/>
      <c r="O32" s="5"/>
      <c r="R32" s="12"/>
      <c r="V32" s="20"/>
      <c r="W32" s="13"/>
      <c r="X32" s="5"/>
    </row>
    <row r="33" spans="3:24">
      <c r="C33" s="3"/>
      <c r="D33" s="45"/>
      <c r="E33" s="45"/>
      <c r="H33" s="12"/>
      <c r="I33"/>
      <c r="J33"/>
      <c r="K33"/>
      <c r="L33" s="20"/>
      <c r="M33">
        <v>123192</v>
      </c>
      <c r="N33" s="13"/>
      <c r="O33" s="5"/>
      <c r="R33" s="12"/>
      <c r="V33" s="20"/>
      <c r="W33" s="13"/>
      <c r="X33" s="5"/>
    </row>
    <row r="34" spans="3:24">
      <c r="C34" s="3"/>
      <c r="D34" s="45"/>
      <c r="E34" s="45"/>
      <c r="H34" s="12"/>
      <c r="I34"/>
      <c r="J34"/>
      <c r="K34"/>
      <c r="L34" s="20"/>
      <c r="M34">
        <v>123025</v>
      </c>
      <c r="N34" s="13"/>
      <c r="O34" s="5"/>
      <c r="R34" s="12"/>
      <c r="V34" s="20"/>
      <c r="W34" s="13"/>
      <c r="X34" s="5"/>
    </row>
    <row r="35" spans="3:24">
      <c r="C35" s="3"/>
      <c r="D35" s="45"/>
      <c r="E35" s="45"/>
      <c r="H35" s="12"/>
      <c r="I35"/>
      <c r="J35"/>
      <c r="K35"/>
      <c r="L35" s="20"/>
      <c r="M35">
        <v>110074</v>
      </c>
      <c r="N35" s="13"/>
      <c r="O35" s="5"/>
      <c r="R35" s="12"/>
      <c r="V35" s="20"/>
      <c r="W35" s="13"/>
      <c r="X35" s="5"/>
    </row>
    <row r="36" spans="3:24">
      <c r="C36" s="3"/>
      <c r="D36" s="45"/>
      <c r="E36" s="45"/>
      <c r="H36" s="12"/>
      <c r="I36"/>
      <c r="J36"/>
      <c r="K36"/>
      <c r="L36" s="20"/>
      <c r="M36"/>
      <c r="N36" s="13"/>
      <c r="O36" s="5"/>
      <c r="R36" s="12"/>
      <c r="V36" s="20"/>
      <c r="W36" s="13"/>
      <c r="X36" s="5"/>
    </row>
    <row r="37" spans="3:24">
      <c r="C37" s="3"/>
      <c r="D37" s="45"/>
      <c r="E37" s="45"/>
      <c r="H37" s="12"/>
      <c r="I37"/>
      <c r="J37"/>
      <c r="K37"/>
      <c r="L37" s="20"/>
      <c r="M37"/>
      <c r="N37" s="13"/>
      <c r="O37" s="5"/>
      <c r="R37" s="12"/>
      <c r="V37" s="20"/>
      <c r="W37" s="13"/>
      <c r="X37" s="5"/>
    </row>
    <row r="38" spans="3:24">
      <c r="C38" s="3"/>
      <c r="D38" s="45"/>
      <c r="E38" s="45"/>
      <c r="H38" s="12"/>
      <c r="I38"/>
      <c r="J38"/>
      <c r="K38"/>
      <c r="L38" s="20"/>
      <c r="M38"/>
      <c r="N38" s="13"/>
      <c r="O38" s="5"/>
      <c r="R38" s="12"/>
      <c r="V38" s="20"/>
      <c r="W38" s="13"/>
      <c r="X38" s="5"/>
    </row>
    <row r="39" spans="3:24">
      <c r="C39" s="3"/>
      <c r="D39" s="45"/>
      <c r="E39" s="45"/>
      <c r="H39" s="12"/>
      <c r="I39"/>
      <c r="J39"/>
      <c r="K39"/>
      <c r="L39" s="20"/>
      <c r="M39"/>
      <c r="N39" s="13"/>
      <c r="O39" s="5"/>
      <c r="R39" s="12"/>
      <c r="V39" s="20"/>
      <c r="W39" s="13"/>
      <c r="X39" s="5"/>
    </row>
    <row r="40" spans="3:24">
      <c r="C40" s="3"/>
      <c r="D40" s="45"/>
      <c r="E40" s="45"/>
      <c r="H40" s="12"/>
      <c r="I40"/>
      <c r="J40"/>
      <c r="K40"/>
      <c r="L40" s="20"/>
      <c r="M40"/>
      <c r="N40" s="13"/>
      <c r="O40" s="5"/>
      <c r="R40" s="12"/>
      <c r="V40" s="20"/>
      <c r="W40" s="13"/>
      <c r="X40" s="5"/>
    </row>
    <row r="41" spans="3:24">
      <c r="C41" s="3"/>
      <c r="D41" s="45"/>
      <c r="E41" s="45"/>
      <c r="H41" s="12"/>
      <c r="I41"/>
      <c r="J41"/>
      <c r="K41"/>
      <c r="L41" s="20"/>
      <c r="M41"/>
      <c r="N41" s="13"/>
      <c r="O41" s="5"/>
      <c r="R41" s="12"/>
      <c r="V41" s="20"/>
      <c r="W41" s="13"/>
      <c r="X41" s="5"/>
    </row>
    <row r="42" spans="3:24">
      <c r="C42" s="3"/>
      <c r="D42" s="45"/>
      <c r="E42" s="45"/>
      <c r="H42" s="12"/>
      <c r="I42"/>
      <c r="J42"/>
      <c r="K42"/>
      <c r="L42" s="20"/>
      <c r="M42"/>
      <c r="N42" s="13"/>
      <c r="O42" s="5"/>
      <c r="R42" s="12"/>
      <c r="V42" s="20"/>
      <c r="W42" s="13"/>
      <c r="X42" s="5"/>
    </row>
    <row r="43" spans="3:24">
      <c r="C43" s="3"/>
      <c r="D43" s="45"/>
      <c r="E43" s="45"/>
      <c r="H43" s="12"/>
      <c r="I43"/>
      <c r="J43"/>
      <c r="K43"/>
      <c r="L43" s="20"/>
      <c r="M43"/>
      <c r="N43" s="13"/>
      <c r="O43" s="5"/>
      <c r="R43" s="12"/>
      <c r="V43" s="20"/>
      <c r="W43" s="13"/>
      <c r="X43" s="5"/>
    </row>
    <row r="44" spans="3:24">
      <c r="C44" s="3"/>
      <c r="D44" s="45"/>
      <c r="E44" s="45"/>
      <c r="H44" s="12"/>
      <c r="I44"/>
      <c r="J44"/>
      <c r="K44"/>
      <c r="L44" s="20"/>
      <c r="M44"/>
      <c r="N44" s="13"/>
      <c r="O44" s="5"/>
      <c r="R44" s="12"/>
      <c r="V44" s="20"/>
      <c r="W44" s="13"/>
      <c r="X44" s="5"/>
    </row>
    <row r="45" spans="3:24">
      <c r="O45" s="5"/>
      <c r="X45" s="5"/>
    </row>
    <row r="46" spans="3:24">
      <c r="O46" s="5"/>
      <c r="X46" s="5"/>
    </row>
    <row r="47" spans="3:24">
      <c r="O47" s="5"/>
      <c r="X47" s="5"/>
    </row>
    <row r="48" spans="3:24">
      <c r="O48" s="5"/>
      <c r="X48" s="5"/>
    </row>
    <row r="49" spans="15:24">
      <c r="O49" s="5"/>
      <c r="X49" s="5"/>
    </row>
    <row r="50" spans="15:24">
      <c r="O50" s="5"/>
      <c r="X50" s="5"/>
    </row>
    <row r="51" spans="15:24">
      <c r="O51" s="5"/>
      <c r="X51" s="5"/>
    </row>
    <row r="52" spans="15:24">
      <c r="O52" s="5"/>
      <c r="X52" s="5"/>
    </row>
  </sheetData>
  <autoFilter ref="A2:X44" xr:uid="{00000000-0009-0000-0000-000003000000}"/>
  <phoneticPr fontId="3" type="noConversion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fresh_price_and_premium_rate_convertible_bond">
                <anchor moveWithCells="1" sizeWithCells="1">
                  <from>
                    <xdr:col>15</xdr:col>
                    <xdr:colOff>133350</xdr:colOff>
                    <xdr:row>0</xdr:row>
                    <xdr:rowOff>0</xdr:rowOff>
                  </from>
                  <to>
                    <xdr:col>16</xdr:col>
                    <xdr:colOff>431800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refresh_multifactor2_convertible_bond">
                <anchor moveWithCells="1" sizeWithCells="1">
                  <from>
                    <xdr:col>24</xdr:col>
                    <xdr:colOff>146050</xdr:colOff>
                    <xdr:row>0</xdr:row>
                    <xdr:rowOff>0</xdr:rowOff>
                  </from>
                  <to>
                    <xdr:col>25</xdr:col>
                    <xdr:colOff>438150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B17"/>
  <sheetViews>
    <sheetView workbookViewId="0">
      <selection activeCell="M21" sqref="M21"/>
    </sheetView>
  </sheetViews>
  <sheetFormatPr defaultColWidth="8.83203125" defaultRowHeight="15.5"/>
  <cols>
    <col min="1" max="1" width="14.75" style="1" customWidth="1"/>
    <col min="2" max="2" width="9.25" style="1" customWidth="1"/>
    <col min="3" max="16384" width="8.83203125" style="1"/>
  </cols>
  <sheetData>
    <row r="1" spans="1:2">
      <c r="A1" s="1" t="s">
        <v>8</v>
      </c>
      <c r="B1" s="1" t="s">
        <v>13</v>
      </c>
    </row>
    <row r="2" spans="1:2">
      <c r="A2" s="1" t="s">
        <v>9</v>
      </c>
    </row>
    <row r="3" spans="1:2">
      <c r="A3" s="1" t="s">
        <v>0</v>
      </c>
    </row>
    <row r="4" spans="1:2">
      <c r="A4" s="1" t="s">
        <v>7</v>
      </c>
    </row>
    <row r="5" spans="1:2">
      <c r="A5" s="1" t="s">
        <v>5</v>
      </c>
    </row>
    <row r="6" spans="1:2">
      <c r="A6" s="1" t="s">
        <v>1</v>
      </c>
    </row>
    <row r="7" spans="1:2">
      <c r="A7" s="1" t="s">
        <v>2</v>
      </c>
      <c r="B7" s="1" t="b">
        <v>0</v>
      </c>
    </row>
    <row r="8" spans="1:2">
      <c r="A8" s="1" t="s">
        <v>3</v>
      </c>
      <c r="B8" s="1" t="b">
        <v>0</v>
      </c>
    </row>
    <row r="9" spans="1:2">
      <c r="A9" s="1" t="s">
        <v>14</v>
      </c>
      <c r="B9" s="1" t="b">
        <v>1</v>
      </c>
    </row>
    <row r="13" spans="1:2">
      <c r="A13" s="2" t="s">
        <v>4</v>
      </c>
    </row>
    <row r="14" spans="1:2">
      <c r="A14" s="1" t="s">
        <v>10</v>
      </c>
    </row>
    <row r="15" spans="1:2">
      <c r="A15" s="1" t="s">
        <v>11</v>
      </c>
    </row>
    <row r="16" spans="1:2">
      <c r="A16" s="1" t="s">
        <v>6</v>
      </c>
    </row>
    <row r="17" spans="1:1">
      <c r="A17" s="1" t="s">
        <v>12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Readme</vt:lpstr>
      <vt:lpstr>RealTimeData - Convertible Bond</vt:lpstr>
      <vt:lpstr>RealTimeData - Stock</vt:lpstr>
      <vt:lpstr>LowPremium_CB_Rotation</vt:lpstr>
      <vt:lpstr>DoubleLow_CB_Rotation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Lin Yang</cp:lastModifiedBy>
  <dcterms:created xsi:type="dcterms:W3CDTF">2015-01-25T11:31:25Z</dcterms:created>
  <dcterms:modified xsi:type="dcterms:W3CDTF">2024-02-20T22:38:52Z</dcterms:modified>
</cp:coreProperties>
</file>