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Lion\Documents\GitHub\UniversalRotation\"/>
    </mc:Choice>
  </mc:AlternateContent>
  <xr:revisionPtr revIDLastSave="0" documentId="13_ncr:1_{4F683AAE-8567-49DE-9FC6-C72DE922B9FE}" xr6:coauthVersionLast="47" xr6:coauthVersionMax="47" xr10:uidLastSave="{00000000-0000-0000-0000-000000000000}"/>
  <bookViews>
    <workbookView xWindow="-38510" yWindow="-50" windowWidth="38620" windowHeight="21100" tabRatio="807" activeTab="4" xr2:uid="{00000000-000D-0000-FFFF-FFFF00000000}"/>
  </bookViews>
  <sheets>
    <sheet name="Readme" sheetId="14" r:id="rId1"/>
    <sheet name="RealTimeData_ConvertibleBond" sheetId="15" r:id="rId2"/>
    <sheet name="Underlying_Values" sheetId="16" r:id="rId3"/>
    <sheet name="Singlefactor Strategies" sheetId="6" r:id="rId4"/>
    <sheet name="Multifactor Strategies" sheetId="9" r:id="rId5"/>
    <sheet name="_xlwings.conf" sheetId="2" r:id="rId6"/>
  </sheets>
  <functionGroups builtInGroupCount="19">
    <functionGroup name="Commands"/>
    <functionGroup name="ChatGPT for Excel"/>
    <functionGroup name="xlwings"/>
  </functionGroups>
  <definedNames>
    <definedName name="_xlnm._FilterDatabase" localSheetId="4" hidden="1">'Multifactor Strategies'!$A$2:$W$17</definedName>
    <definedName name="_xlnm._FilterDatabase" localSheetId="1" hidden="1">RealTimeData_ConvertibleBond!$A$7:$T$10</definedName>
    <definedName name="_xlnm._FilterDatabase" localSheetId="3" hidden="1">'Singlefactor Strategies'!$A$2:$X$18</definedName>
    <definedName name="_xlnm._FilterDatabase" localSheetId="2" hidden="1">Underlying_Values!$A$7:$X$10</definedName>
  </definedNames>
  <calcPr calcId="191029"/>
  <extLst>
    <ext xmlns:x14="http://schemas.microsoft.com/office/spreadsheetml/2009/9/main" uri="{8193D73E-4604-4355-AFF4-8A2333D13BE4}">
      <x14:definedNames>
        <x14:definedName name="get_fund_k_histor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fund_LJJZ_PRE20">
          <x14:argumentDescriptions count="1">
            <x14:argumentDescription index="0">Positional argument 1</x14:argumentDescription>
          </x14:argumentDescriptions>
        </x14:definedName>
        <x14:definedName name="get_fund_net_asset_value_histor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fund_premium_rate">
          <x14:argumentDescriptions count="1">
            <x14:argumentDescription index="0">Positional argument 1</x14:argumentDescription>
          </x14:argumentDescriptions>
        </x14:definedName>
        <x14:definedName name="get_rank_valu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fund20LJJZ">
          <x14:argumentDescriptions count="1">
            <x14:argumentDescription index="0">Positional argument 1</x14:argumentDescription>
          </x14:argumentDescriptions>
        </x14:definedName>
        <x14:definedName name="rotate_fund_by_premium_rate_and_20net_asset_valu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8" i="6" l="1"/>
  <c r="O8" i="9"/>
  <c r="O9" i="9"/>
  <c r="O10" i="9"/>
  <c r="AG6" i="9"/>
  <c r="AG5" i="9"/>
  <c r="AG4" i="9"/>
  <c r="AG3" i="9"/>
  <c r="X3" i="9"/>
  <c r="X4" i="9"/>
  <c r="X5" i="9"/>
  <c r="D3" i="9"/>
  <c r="E3" i="9"/>
  <c r="F3" i="9"/>
  <c r="D4" i="9"/>
  <c r="E4" i="9"/>
  <c r="F4" i="9"/>
  <c r="D5" i="9"/>
  <c r="E5" i="9"/>
  <c r="F5" i="9"/>
  <c r="H26" i="6"/>
  <c r="F10" i="9"/>
  <c r="F9" i="9"/>
  <c r="F8" i="9"/>
  <c r="F7" i="9"/>
  <c r="F6" i="9"/>
  <c r="H4" i="6"/>
  <c r="H5" i="6"/>
  <c r="H6" i="6"/>
  <c r="H7" i="6"/>
  <c r="H8" i="6"/>
  <c r="H9" i="6"/>
  <c r="H10" i="6"/>
  <c r="H3" i="6"/>
  <c r="G3" i="6"/>
  <c r="G4" i="6"/>
  <c r="G5" i="6"/>
  <c r="G6" i="6"/>
  <c r="G7" i="6"/>
  <c r="G8" i="6"/>
  <c r="G9" i="6"/>
  <c r="G10" i="6"/>
  <c r="F4" i="6"/>
  <c r="F5" i="6"/>
  <c r="F6" i="6"/>
  <c r="F7" i="6"/>
  <c r="F8" i="6"/>
  <c r="F9" i="6"/>
  <c r="F10" i="6"/>
  <c r="F3" i="6"/>
  <c r="E4" i="6"/>
  <c r="E5" i="6"/>
  <c r="E6" i="6"/>
  <c r="E7" i="6"/>
  <c r="E8" i="6"/>
  <c r="E9" i="6"/>
  <c r="E10" i="6"/>
  <c r="E3" i="6"/>
  <c r="D4" i="6"/>
  <c r="D5" i="6"/>
  <c r="D6" i="6"/>
  <c r="D7" i="6"/>
  <c r="D8" i="6"/>
  <c r="D9" i="6"/>
  <c r="D10" i="6"/>
  <c r="D3" i="6"/>
  <c r="H21" i="6"/>
  <c r="H22" i="6"/>
  <c r="H23" i="6"/>
  <c r="H24" i="6"/>
  <c r="H25" i="6"/>
  <c r="X24" i="6"/>
  <c r="X23" i="6"/>
  <c r="X22" i="6"/>
  <c r="X21" i="6"/>
  <c r="P27" i="6"/>
  <c r="P26" i="6"/>
  <c r="P25" i="6"/>
  <c r="P24" i="6"/>
  <c r="P23" i="6"/>
  <c r="P22" i="6"/>
  <c r="P21" i="6"/>
  <c r="X4" i="6"/>
  <c r="X5" i="6"/>
  <c r="X3" i="6"/>
  <c r="P4" i="6"/>
  <c r="P5" i="6"/>
  <c r="P6" i="6"/>
  <c r="P7" i="6"/>
  <c r="P8" i="6"/>
  <c r="P9" i="6"/>
  <c r="P10" i="6"/>
  <c r="P3" i="6"/>
  <c r="C9" i="9" l="1"/>
  <c r="C8" i="9"/>
  <c r="C7" i="9"/>
  <c r="C6" i="9"/>
  <c r="C5" i="9"/>
  <c r="C4" i="9"/>
  <c r="C3" i="9"/>
  <c r="C8" i="6"/>
  <c r="C7" i="6"/>
  <c r="C5" i="6"/>
  <c r="C4" i="6"/>
  <c r="C3" i="6"/>
  <c r="C6" i="6"/>
  <c r="C9" i="6" l="1"/>
  <c r="C10" i="6"/>
  <c r="O4" i="9"/>
  <c r="O5" i="9"/>
  <c r="O6" i="9"/>
  <c r="O7" i="9"/>
  <c r="O3" i="9"/>
  <c r="C10" i="9" l="1"/>
  <c r="D6" i="9" l="1"/>
  <c r="D7" i="9"/>
  <c r="D8" i="9"/>
  <c r="D9" i="9"/>
  <c r="D10" i="9"/>
  <c r="E6" i="9" l="1"/>
  <c r="E7" i="9"/>
  <c r="E8" i="9"/>
  <c r="E9" i="9"/>
  <c r="E10" i="9"/>
</calcChain>
</file>

<file path=xl/sharedStrings.xml><?xml version="1.0" encoding="utf-8"?>
<sst xmlns="http://schemas.openxmlformats.org/spreadsheetml/2006/main" count="328" uniqueCount="155">
  <si>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</si>
  <si>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</si>
  <si>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</si>
  <si>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</si>
  <si>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</si>
  <si>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</si>
  <si>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</si>
  <si>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</si>
  <si>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</si>
  <si>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</si>
  <si>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</si>
  <si>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</si>
  <si>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</si>
  <si>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</si>
  <si>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</si>
  <si>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Premium Rate</t>
  </si>
  <si>
    <t>SZ300332</t>
  </si>
  <si>
    <t>SZ002840</t>
  </si>
  <si>
    <t>SZ002126</t>
  </si>
  <si>
    <t>Readme</t>
  </si>
  <si>
    <t>Here</t>
  </si>
  <si>
    <t>Quote</t>
  </si>
  <si>
    <t>Name</t>
  </si>
  <si>
    <t>Change</t>
  </si>
  <si>
    <t>Maturity Date</t>
  </si>
  <si>
    <t>Day High</t>
  </si>
  <si>
    <t>Day Low</t>
  </si>
  <si>
    <t>Turnover Rate</t>
  </si>
  <si>
    <t>Conversion Price</t>
  </si>
  <si>
    <t>Conversion Value</t>
  </si>
  <si>
    <t>Current</t>
  </si>
  <si>
    <t>Double Low</t>
  </si>
  <si>
    <t>Remain Year</t>
  </si>
  <si>
    <t>Benefit Before Tax</t>
  </si>
  <si>
    <t>银轮转债</t>
  </si>
  <si>
    <t>巨星转债</t>
  </si>
  <si>
    <t>华统转债</t>
  </si>
  <si>
    <t>天壕转债</t>
  </si>
  <si>
    <t>北方转债</t>
  </si>
  <si>
    <t>耐普转债</t>
  </si>
  <si>
    <t>永和转债</t>
  </si>
  <si>
    <t>伊力转债</t>
  </si>
  <si>
    <t>金盘转债</t>
  </si>
  <si>
    <t>Amount (k)</t>
  </si>
  <si>
    <t>Outstanding Amount (m)</t>
  </si>
  <si>
    <t>Amplitude</t>
  </si>
  <si>
    <t>Issue Date</t>
  </si>
  <si>
    <t>SH603477</t>
  </si>
  <si>
    <t>SZ000065</t>
  </si>
  <si>
    <t>SZ300818</t>
  </si>
  <si>
    <t>SH605020</t>
  </si>
  <si>
    <t>SH600197</t>
  </si>
  <si>
    <t>SH688676</t>
  </si>
  <si>
    <t>平煤转债</t>
  </si>
  <si>
    <t>SH601666</t>
  </si>
  <si>
    <t>苏行转债</t>
  </si>
  <si>
    <t>SZ002966</t>
  </si>
  <si>
    <t>家联转债</t>
  </si>
  <si>
    <t>SZ301193</t>
  </si>
  <si>
    <t>豪鹏转债</t>
  </si>
  <si>
    <t>SZ001283</t>
  </si>
  <si>
    <t>科数转债</t>
  </si>
  <si>
    <t>SZ002335</t>
  </si>
  <si>
    <t>国力转债</t>
  </si>
  <si>
    <t>SH688103</t>
  </si>
  <si>
    <t>汇通转债</t>
  </si>
  <si>
    <t>SH603176</t>
  </si>
  <si>
    <t>晶澳转债</t>
  </si>
  <si>
    <t>SZ002459</t>
  </si>
  <si>
    <t>Dividend</t>
  </si>
  <si>
    <t>Interest Rate</t>
  </si>
  <si>
    <t>Putable Price</t>
  </si>
  <si>
    <t>Callable Price</t>
  </si>
  <si>
    <t>Theoretical Value</t>
  </si>
  <si>
    <t>Bias</t>
  </si>
  <si>
    <t>平煤股份</t>
  </si>
  <si>
    <t>银轮股份</t>
  </si>
  <si>
    <t>华统股份</t>
  </si>
  <si>
    <t>巨星农牧</t>
  </si>
  <si>
    <t>天壕能源</t>
  </si>
  <si>
    <t>金盘科技</t>
  </si>
  <si>
    <t>北方国际</t>
  </si>
  <si>
    <t>永和股份</t>
  </si>
  <si>
    <t>伊力特</t>
  </si>
  <si>
    <t>耐普矿机</t>
  </si>
  <si>
    <t>苏州银行</t>
  </si>
  <si>
    <t>家联科技</t>
  </si>
  <si>
    <t>豪鹏科技</t>
  </si>
  <si>
    <t>科华数据</t>
  </si>
  <si>
    <t>国力股份</t>
  </si>
  <si>
    <t>汇通集团</t>
  </si>
  <si>
    <t>晶澳科技</t>
  </si>
  <si>
    <t>Option Value</t>
  </si>
  <si>
    <t>GCNY10</t>
  </si>
  <si>
    <t>China 10-Year Government Bond Yield</t>
  </si>
  <si>
    <t>海亮转债</t>
  </si>
  <si>
    <t>SZ002203</t>
  </si>
  <si>
    <t>海亮股份</t>
  </si>
  <si>
    <t>Stock Name</t>
  </si>
  <si>
    <t>Stock Current</t>
  </si>
  <si>
    <t>Option Price</t>
  </si>
  <si>
    <t>DtD</t>
  </si>
  <si>
    <t>Stock Quote</t>
  </si>
  <si>
    <t>Implied Volitality</t>
  </si>
  <si>
    <t>Strategies</t>
  </si>
  <si>
    <t>DoubleLow</t>
  </si>
  <si>
    <t>Prem. Rate</t>
  </si>
  <si>
    <t>Multifactor1</t>
  </si>
  <si>
    <t>Multifactor2</t>
  </si>
  <si>
    <t>Current Threshold</t>
  </si>
  <si>
    <t>Prem. Rate Threshold</t>
  </si>
  <si>
    <t>Out. Amount Threshold</t>
  </si>
  <si>
    <t>Weights</t>
  </si>
  <si>
    <t>Singlefactor Strategies</t>
  </si>
  <si>
    <t>Multifactor Strategies</t>
  </si>
  <si>
    <t>Straight Bond Value</t>
  </si>
  <si>
    <t>Realized Volatility</t>
  </si>
  <si>
    <t>Differential Volitality</t>
  </si>
  <si>
    <t>High Bias</t>
  </si>
  <si>
    <t>Low DtD</t>
  </si>
  <si>
    <t>Multifactor3</t>
  </si>
  <si>
    <t>Current CB Holdings</t>
  </si>
  <si>
    <t>Diff. Vol.</t>
  </si>
  <si>
    <t>Diff. Vol. Threshold</t>
  </si>
  <si>
    <t>Bias Threshold</t>
  </si>
  <si>
    <t>DtD Threshold</t>
  </si>
  <si>
    <t>Low Premium Rate</t>
  </si>
  <si>
    <t>Ranks of the holding CBs</t>
  </si>
  <si>
    <t>Low Bias</t>
  </si>
  <si>
    <t>High DtD</t>
  </si>
  <si>
    <t>Holding?</t>
  </si>
  <si>
    <t>High 
Diff. Vol.</t>
  </si>
  <si>
    <t>Up-to-date Lowest Premium Rate CB ranking</t>
  </si>
  <si>
    <t>Up-to_date Double Low Strategy CB ranking</t>
  </si>
  <si>
    <t>Note: Refresh Real time data before refreshing this page</t>
  </si>
  <si>
    <t>Up-to-date Highest Differential Volitality CB ranking</t>
  </si>
  <si>
    <t>Up-to-date Highest Bias CB ranking</t>
  </si>
  <si>
    <t>Up-to-date Highest DtD CB ranking</t>
  </si>
  <si>
    <t>250&amp;5</t>
  </si>
  <si>
    <t>900&amp;3</t>
  </si>
  <si>
    <t>150&amp;7</t>
  </si>
  <si>
    <t>400&amp;1</t>
  </si>
  <si>
    <t>multifactor1</t>
  </si>
  <si>
    <t>multifactor2</t>
  </si>
  <si>
    <t>0&amp;2</t>
  </si>
  <si>
    <t>-0.05&amp;3</t>
  </si>
  <si>
    <t>-0.1&amp;5</t>
  </si>
  <si>
    <t>multifactor3</t>
  </si>
  <si>
    <t>Up-to-date Multifactor Model 1 Ranking</t>
  </si>
  <si>
    <t>Up-to-date Multifactor Model 2 Ranking</t>
  </si>
  <si>
    <t>Up-to-date Multifactor Model 3 Ranking</t>
  </si>
  <si>
    <t>50&amp;2</t>
  </si>
  <si>
    <t>50&amp;3</t>
  </si>
  <si>
    <t>T_refresh:20240228-15.31.48</t>
  </si>
  <si>
    <t>T_refresh:20240228-15.35.30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</si>
</sst>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_ "/>
    <numFmt numFmtId="165" formatCode="[$-F400]h:mm:ss\ AM/PM"/>
    <numFmt numFmtId="166" formatCode="0.000_ "/>
    <numFmt numFmtId="167" formatCode="0.0000"/>
    <numFmt numFmtId="168" formatCode="0.0%"/>
    <numFmt numFmtId="169" formatCode="0.000"/>
    <numFmt numFmtId="170" formatCode="0_ "/>
  </numFmts>
  <fonts count="27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3"/>
      <charset val="134"/>
      <scheme val="minor"/>
    </font>
    <font>
      <b/>
      <sz val="12"/>
      <color theme="0"/>
      <name val="Calibri"/>
      <family val="3"/>
      <charset val="134"/>
      <scheme val="minor"/>
    </font>
    <font>
      <sz val="12"/>
      <color theme="1"/>
      <name val="Calibri"/>
      <family val="3"/>
      <charset val="134"/>
      <scheme val="minor"/>
    </font>
    <font>
      <sz val="12"/>
      <color rgb="FFFFFF00"/>
      <name val="Calibri"/>
      <family val="3"/>
      <charset val="134"/>
      <scheme val="minor"/>
    </font>
    <font>
      <b/>
      <sz val="12"/>
      <color rgb="FFFFFF00"/>
      <name val="Calibri"/>
      <family val="3"/>
      <charset val="134"/>
      <scheme val="minor"/>
    </font>
    <font>
      <sz val="11"/>
      <color rgb="FFFFFF00"/>
      <name val="Calibri"/>
      <family val="3"/>
      <charset val="134"/>
      <scheme val="minor"/>
    </font>
    <font>
      <sz val="12"/>
      <color theme="1"/>
      <name val="Calibri"/>
      <family val="2"/>
      <scheme val="minor"/>
    </font>
    <font>
      <sz val="11"/>
      <color indexed="8"/>
      <name val="宋体"/>
      <family val="3"/>
      <charset val="134"/>
    </font>
    <font>
      <sz val="12"/>
      <name val="Calibri"/>
      <family val="3"/>
      <charset val="134"/>
      <scheme val="minor"/>
    </font>
    <font>
      <u/>
      <sz val="12"/>
      <color theme="10"/>
      <name val="Calibri"/>
      <family val="2"/>
      <scheme val="minor"/>
    </font>
    <font>
      <b/>
      <u/>
      <sz val="14"/>
      <color rgb="FF993300"/>
      <name val="宋体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u/>
      <sz val="14"/>
      <color rgb="FF993300"/>
      <name val="Cambria"/>
      <family val="1"/>
    </font>
    <font>
      <b/>
      <sz val="12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sz val="12"/>
      <color rgb="FFFFFF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8">
    <xf numFmtId="0" fontId="0" fillId="0" borderId="0"/>
    <xf numFmtId="0" fontId="4" fillId="0" borderId="0"/>
    <xf numFmtId="9" fontId="4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165" fontId="12" fillId="0" borderId="0">
      <alignment vertical="center"/>
    </xf>
    <xf numFmtId="0" fontId="14" fillId="0" borderId="0" applyNumberFormat="0" applyFill="0" applyBorder="0" applyAlignment="0" applyProtection="0"/>
    <xf numFmtId="0" fontId="1" fillId="0" borderId="0"/>
    <xf numFmtId="9" fontId="1" fillId="0" borderId="0" applyFont="0" applyFill="0" applyBorder="0" applyAlignment="0" applyProtection="0">
      <alignment vertical="center"/>
    </xf>
  </cellStyleXfs>
  <cellXfs count="202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5" fillId="0" borderId="0" xfId="0" applyFont="1"/>
    <xf numFmtId="164" fontId="0" fillId="0" borderId="0" xfId="0" applyNumberFormat="1"/>
    <xf numFmtId="10" fontId="0" fillId="0" borderId="0" xfId="0" applyNumberFormat="1"/>
    <xf numFmtId="0" fontId="7" fillId="0" borderId="0" xfId="0" applyFont="1"/>
    <xf numFmtId="0" fontId="13" fillId="2" borderId="0" xfId="0" applyFont="1" applyFill="1" applyAlignment="1">
      <alignment vertical="top" wrapText="1"/>
    </xf>
    <xf numFmtId="0" fontId="0" fillId="0" borderId="0" xfId="0" applyAlignment="1">
      <alignment vertical="top" wrapText="1"/>
    </xf>
    <xf numFmtId="0" fontId="0" fillId="6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7" fillId="0" borderId="0" xfId="1" applyFont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6" fillId="2" borderId="0" xfId="4" applyNumberFormat="1" applyFont="1" applyFill="1" applyAlignment="1">
      <alignment horizontal="center" vertical="center" wrapText="1"/>
    </xf>
    <xf numFmtId="164" fontId="16" fillId="2" borderId="0" xfId="4" applyNumberFormat="1" applyFont="1" applyFill="1" applyAlignment="1">
      <alignment horizontal="center" vertical="center" wrapText="1"/>
    </xf>
    <xf numFmtId="10" fontId="16" fillId="2" borderId="0" xfId="3" applyNumberFormat="1" applyFont="1" applyFill="1" applyBorder="1" applyAlignment="1">
      <alignment horizontal="center" vertical="center" wrapText="1"/>
    </xf>
    <xf numFmtId="0" fontId="16" fillId="2" borderId="0" xfId="0" applyFont="1" applyFill="1" applyAlignment="1">
      <alignment horizontal="center" vertical="center" wrapText="1"/>
    </xf>
    <xf numFmtId="164" fontId="16" fillId="2" borderId="0" xfId="0" applyNumberFormat="1" applyFont="1" applyFill="1" applyAlignment="1">
      <alignment horizontal="center" vertical="center" wrapText="1"/>
    </xf>
    <xf numFmtId="164" fontId="16" fillId="2" borderId="0" xfId="3" applyNumberFormat="1" applyFont="1" applyFill="1" applyBorder="1" applyAlignment="1">
      <alignment horizontal="center" vertical="center" wrapText="1"/>
    </xf>
    <xf numFmtId="10" fontId="16" fillId="2" borderId="0" xfId="4" applyNumberFormat="1" applyFont="1" applyFill="1" applyAlignment="1">
      <alignment horizontal="center" vertical="center" wrapText="1"/>
    </xf>
    <xf numFmtId="10" fontId="16" fillId="2" borderId="0" xfId="0" applyNumberFormat="1" applyFont="1" applyFill="1" applyAlignment="1">
      <alignment horizontal="center" vertical="center" wrapText="1"/>
    </xf>
    <xf numFmtId="2" fontId="0" fillId="9" borderId="0" xfId="0" applyNumberFormat="1" applyFill="1"/>
    <xf numFmtId="2" fontId="0" fillId="0" borderId="0" xfId="0" applyNumberFormat="1"/>
    <xf numFmtId="10" fontId="16" fillId="2" borderId="0" xfId="3" applyNumberFormat="1" applyFont="1" applyFill="1" applyAlignment="1">
      <alignment horizontal="center" vertical="center" wrapText="1"/>
    </xf>
    <xf numFmtId="10" fontId="0" fillId="0" borderId="0" xfId="3" applyNumberFormat="1" applyFont="1" applyAlignment="1"/>
    <xf numFmtId="166" fontId="0" fillId="0" borderId="0" xfId="0" applyNumberFormat="1"/>
    <xf numFmtId="0" fontId="13" fillId="2" borderId="0" xfId="0" applyFont="1" applyFill="1" applyAlignment="1">
      <alignment horizontal="center" vertical="center" wrapText="1"/>
    </xf>
    <xf numFmtId="2" fontId="13" fillId="2" borderId="0" xfId="0" applyNumberFormat="1" applyFont="1" applyFill="1" applyAlignment="1">
      <alignment horizontal="center" vertical="center" wrapText="1"/>
    </xf>
    <xf numFmtId="0" fontId="16" fillId="0" borderId="0" xfId="0" applyFont="1" applyAlignment="1">
      <alignment horizontal="center" vertical="top" wrapText="1"/>
    </xf>
    <xf numFmtId="0" fontId="13" fillId="0" borderId="0" xfId="0" applyFont="1" applyAlignment="1">
      <alignment vertical="top" wrapText="1"/>
    </xf>
    <xf numFmtId="0" fontId="0" fillId="0" borderId="0" xfId="0" applyAlignment="1">
      <alignment horizontal="right" vertical="center"/>
    </xf>
    <xf numFmtId="2" fontId="0" fillId="0" borderId="0" xfId="0" applyNumberFormat="1" applyAlignment="1">
      <alignment horizontal="right" vertical="center"/>
    </xf>
    <xf numFmtId="2" fontId="0" fillId="0" borderId="0" xfId="3" applyNumberFormat="1" applyFont="1" applyAlignment="1">
      <alignment horizontal="right" vertical="center"/>
    </xf>
    <xf numFmtId="0" fontId="0" fillId="7" borderId="0" xfId="0" applyFill="1" applyAlignment="1">
      <alignment horizontal="right" vertical="center"/>
    </xf>
    <xf numFmtId="168" fontId="0" fillId="6" borderId="0" xfId="3" applyNumberFormat="1" applyFont="1" applyFill="1" applyAlignment="1">
      <alignment horizontal="right" vertical="center"/>
    </xf>
    <xf numFmtId="10" fontId="0" fillId="0" borderId="0" xfId="0" applyNumberFormat="1" applyAlignment="1">
      <alignment horizontal="right" vertical="center"/>
    </xf>
    <xf numFmtId="14" fontId="0" fillId="0" borderId="0" xfId="0" applyNumberFormat="1" applyAlignment="1">
      <alignment horizontal="right" vertical="center"/>
    </xf>
    <xf numFmtId="164" fontId="0" fillId="0" borderId="0" xfId="0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 vertical="center"/>
    </xf>
    <xf numFmtId="0" fontId="17" fillId="2" borderId="0" xfId="0" applyFont="1" applyFill="1" applyAlignment="1">
      <alignment horizontal="right" vertical="center"/>
    </xf>
    <xf numFmtId="0" fontId="0" fillId="0" borderId="0" xfId="0" applyAlignment="1">
      <alignment horizontal="center" vertical="center" wrapText="1"/>
    </xf>
    <xf numFmtId="10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10" fontId="0" fillId="8" borderId="0" xfId="0" applyNumberForma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164" fontId="0" fillId="8" borderId="0" xfId="0" applyNumberFormat="1" applyFill="1" applyAlignment="1">
      <alignment horizontal="center" vertical="center"/>
    </xf>
    <xf numFmtId="10" fontId="0" fillId="9" borderId="0" xfId="0" applyNumberFormat="1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164" fontId="0" fillId="9" borderId="0" xfId="0" applyNumberFormat="1" applyFill="1" applyAlignment="1">
      <alignment horizontal="center" vertical="center"/>
    </xf>
    <xf numFmtId="10" fontId="0" fillId="10" borderId="0" xfId="0" applyNumberForma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164" fontId="0" fillId="10" borderId="0" xfId="0" applyNumberFormat="1" applyFill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0" fontId="16" fillId="6" borderId="0" xfId="0" applyFont="1" applyFill="1" applyAlignment="1">
      <alignment horizontal="center" vertical="center" wrapText="1"/>
    </xf>
    <xf numFmtId="0" fontId="16" fillId="7" borderId="0" xfId="0" applyFont="1" applyFill="1" applyAlignment="1">
      <alignment horizontal="center" vertical="center" wrapText="1"/>
    </xf>
    <xf numFmtId="0" fontId="0" fillId="6" borderId="2" xfId="0" applyFill="1" applyBorder="1" applyAlignment="1">
      <alignment horizontal="center" vertical="center"/>
    </xf>
    <xf numFmtId="10" fontId="0" fillId="6" borderId="3" xfId="0" applyNumberFormat="1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164" fontId="0" fillId="6" borderId="3" xfId="0" applyNumberFormat="1" applyFill="1" applyBorder="1" applyAlignment="1">
      <alignment horizontal="center" vertical="center"/>
    </xf>
    <xf numFmtId="164" fontId="0" fillId="6" borderId="4" xfId="0" applyNumberFormat="1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10" fontId="0" fillId="8" borderId="6" xfId="0" applyNumberFormat="1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164" fontId="0" fillId="8" borderId="6" xfId="0" applyNumberFormat="1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10" fontId="0" fillId="9" borderId="3" xfId="0" applyNumberFormat="1" applyFill="1" applyBorder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164" fontId="0" fillId="9" borderId="3" xfId="0" applyNumberFormat="1" applyFill="1" applyBorder="1" applyAlignment="1">
      <alignment horizontal="center" vertical="center"/>
    </xf>
    <xf numFmtId="170" fontId="0" fillId="9" borderId="4" xfId="0" applyNumberFormat="1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10" fontId="0" fillId="10" borderId="6" xfId="0" applyNumberFormat="1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164" fontId="0" fillId="10" borderId="6" xfId="0" applyNumberFormat="1" applyFill="1" applyBorder="1" applyAlignment="1">
      <alignment horizontal="center" vertical="center"/>
    </xf>
    <xf numFmtId="170" fontId="0" fillId="10" borderId="7" xfId="0" applyNumberFormat="1" applyFill="1" applyBorder="1" applyAlignment="1">
      <alignment horizontal="center" vertical="center"/>
    </xf>
    <xf numFmtId="10" fontId="0" fillId="0" borderId="0" xfId="3" applyNumberFormat="1" applyFont="1" applyAlignment="1">
      <alignment horizontal="center" vertical="center" wrapText="1"/>
    </xf>
    <xf numFmtId="10" fontId="0" fillId="6" borderId="0" xfId="3" applyNumberFormat="1" applyFont="1" applyFill="1" applyAlignment="1">
      <alignment horizontal="center" vertical="center"/>
    </xf>
    <xf numFmtId="10" fontId="0" fillId="8" borderId="0" xfId="3" applyNumberFormat="1" applyFont="1" applyFill="1" applyAlignment="1">
      <alignment horizontal="center" vertical="center"/>
    </xf>
    <xf numFmtId="10" fontId="0" fillId="9" borderId="0" xfId="3" applyNumberFormat="1" applyFont="1" applyFill="1" applyAlignment="1">
      <alignment horizontal="center" vertical="center"/>
    </xf>
    <xf numFmtId="10" fontId="0" fillId="10" borderId="0" xfId="3" applyNumberFormat="1" applyFont="1" applyFill="1" applyAlignment="1">
      <alignment horizontal="center" vertical="center"/>
    </xf>
    <xf numFmtId="2" fontId="0" fillId="12" borderId="0" xfId="0" applyNumberFormat="1" applyFill="1" applyAlignment="1">
      <alignment horizontal="right" vertical="center"/>
    </xf>
    <xf numFmtId="10" fontId="0" fillId="12" borderId="0" xfId="3" applyNumberFormat="1" applyFont="1" applyFill="1" applyAlignment="1">
      <alignment horizontal="right" vertical="center"/>
    </xf>
    <xf numFmtId="2" fontId="16" fillId="12" borderId="0" xfId="3" applyNumberFormat="1" applyFont="1" applyFill="1" applyBorder="1" applyAlignment="1">
      <alignment horizontal="center" vertical="center" wrapText="1"/>
    </xf>
    <xf numFmtId="10" fontId="16" fillId="12" borderId="0" xfId="3" applyNumberFormat="1" applyFont="1" applyFill="1" applyBorder="1" applyAlignment="1">
      <alignment horizontal="center" vertical="center" wrapText="1"/>
    </xf>
    <xf numFmtId="10" fontId="16" fillId="12" borderId="0" xfId="0" applyNumberFormat="1" applyFont="1" applyFill="1" applyAlignment="1">
      <alignment horizontal="center" vertical="center" wrapText="1"/>
    </xf>
    <xf numFmtId="164" fontId="16" fillId="12" borderId="0" xfId="4" applyNumberFormat="1" applyFont="1" applyFill="1" applyAlignment="1">
      <alignment horizontal="center" vertical="center" wrapText="1"/>
    </xf>
    <xf numFmtId="10" fontId="16" fillId="6" borderId="0" xfId="3" applyNumberFormat="1" applyFont="1" applyFill="1" applyBorder="1" applyAlignment="1">
      <alignment horizontal="center" vertical="center" wrapText="1"/>
    </xf>
    <xf numFmtId="0" fontId="13" fillId="7" borderId="0" xfId="0" applyFont="1" applyFill="1" applyAlignment="1">
      <alignment horizontal="center" vertical="center" wrapText="1"/>
    </xf>
    <xf numFmtId="10" fontId="0" fillId="7" borderId="0" xfId="3" applyNumberFormat="1" applyFont="1" applyFill="1" applyAlignment="1">
      <alignment horizontal="right" vertical="center"/>
    </xf>
    <xf numFmtId="10" fontId="16" fillId="9" borderId="0" xfId="3" applyNumberFormat="1" applyFont="1" applyFill="1" applyBorder="1" applyAlignment="1">
      <alignment horizontal="center" vertical="center" wrapText="1"/>
    </xf>
    <xf numFmtId="167" fontId="0" fillId="9" borderId="0" xfId="0" applyNumberFormat="1" applyFill="1" applyAlignment="1">
      <alignment horizontal="right" vertical="center"/>
    </xf>
    <xf numFmtId="0" fontId="0" fillId="2" borderId="5" xfId="0" applyFill="1" applyBorder="1" applyAlignment="1">
      <alignment horizontal="center" vertical="center"/>
    </xf>
    <xf numFmtId="164" fontId="0" fillId="2" borderId="7" xfId="0" applyNumberFormat="1" applyFill="1" applyBorder="1"/>
    <xf numFmtId="166" fontId="19" fillId="2" borderId="6" xfId="0" applyNumberFormat="1" applyFont="1" applyFill="1" applyBorder="1" applyAlignment="1">
      <alignment horizontal="center" vertical="center"/>
    </xf>
    <xf numFmtId="169" fontId="0" fillId="0" borderId="0" xfId="3" applyNumberFormat="1" applyFont="1" applyAlignment="1">
      <alignment horizontal="right" vertical="center"/>
    </xf>
    <xf numFmtId="169" fontId="0" fillId="11" borderId="0" xfId="3" applyNumberFormat="1" applyFont="1" applyFill="1" applyAlignment="1">
      <alignment horizontal="right" vertical="center"/>
    </xf>
    <xf numFmtId="169" fontId="0" fillId="0" borderId="0" xfId="3" applyNumberFormat="1" applyFont="1" applyFill="1" applyAlignment="1">
      <alignment horizontal="right" vertical="center"/>
    </xf>
    <xf numFmtId="0" fontId="16" fillId="10" borderId="0" xfId="0" applyFont="1" applyFill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1" fillId="6" borderId="0" xfId="0" applyFont="1" applyFill="1" applyAlignment="1">
      <alignment horizontal="center" vertical="center"/>
    </xf>
    <xf numFmtId="0" fontId="21" fillId="7" borderId="0" xfId="0" applyFont="1" applyFill="1" applyAlignment="1">
      <alignment horizontal="center" vertical="center"/>
    </xf>
    <xf numFmtId="0" fontId="22" fillId="9" borderId="0" xfId="0" applyFont="1" applyFill="1" applyAlignment="1">
      <alignment horizontal="center" vertical="center"/>
    </xf>
    <xf numFmtId="0" fontId="22" fillId="10" borderId="0" xfId="0" applyFont="1" applyFill="1" applyAlignment="1">
      <alignment horizontal="center" vertical="center"/>
    </xf>
    <xf numFmtId="0" fontId="21" fillId="8" borderId="0" xfId="0" applyFont="1" applyFill="1" applyAlignment="1">
      <alignment horizontal="center" vertical="center"/>
    </xf>
    <xf numFmtId="0" fontId="21" fillId="9" borderId="0" xfId="0" applyFont="1" applyFill="1" applyAlignment="1">
      <alignment horizontal="center" vertical="center"/>
    </xf>
    <xf numFmtId="0" fontId="2" fillId="2" borderId="8" xfId="0" applyFont="1" applyFill="1" applyBorder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2" fontId="0" fillId="6" borderId="3" xfId="0" applyNumberFormat="1" applyFill="1" applyBorder="1" applyAlignment="1">
      <alignment horizontal="center" vertical="center"/>
    </xf>
    <xf numFmtId="164" fontId="0" fillId="8" borderId="8" xfId="0" applyNumberFormat="1" applyFill="1" applyBorder="1" applyAlignment="1">
      <alignment horizontal="center" vertical="center"/>
    </xf>
    <xf numFmtId="2" fontId="0" fillId="8" borderId="0" xfId="0" applyNumberFormat="1" applyFill="1" applyAlignment="1">
      <alignment horizontal="center" vertical="center"/>
    </xf>
    <xf numFmtId="164" fontId="0" fillId="8" borderId="9" xfId="0" applyNumberFormat="1" applyFill="1" applyBorder="1" applyAlignment="1">
      <alignment horizontal="center" vertical="center"/>
    </xf>
    <xf numFmtId="164" fontId="0" fillId="9" borderId="5" xfId="0" applyNumberFormat="1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164" fontId="0" fillId="9" borderId="6" xfId="0" applyNumberFormat="1" applyFill="1" applyBorder="1" applyAlignment="1">
      <alignment horizontal="center" vertical="center"/>
    </xf>
    <xf numFmtId="2" fontId="0" fillId="9" borderId="6" xfId="0" applyNumberFormat="1" applyFill="1" applyBorder="1" applyAlignment="1">
      <alignment horizontal="center" vertical="center"/>
    </xf>
    <xf numFmtId="164" fontId="0" fillId="9" borderId="7" xfId="0" applyNumberFormat="1" applyFill="1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2" fontId="0" fillId="10" borderId="11" xfId="0" applyNumberFormat="1" applyFill="1" applyBorder="1" applyAlignment="1">
      <alignment horizontal="center" vertical="center"/>
    </xf>
    <xf numFmtId="164" fontId="0" fillId="10" borderId="11" xfId="0" applyNumberFormat="1" applyFill="1" applyBorder="1" applyAlignment="1">
      <alignment horizontal="center" vertical="center"/>
    </xf>
    <xf numFmtId="164" fontId="0" fillId="10" borderId="12" xfId="0" applyNumberFormat="1" applyFill="1" applyBorder="1" applyAlignment="1">
      <alignment horizontal="center" vertical="center"/>
    </xf>
    <xf numFmtId="0" fontId="5" fillId="0" borderId="0" xfId="1" applyFont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5" fillId="0" borderId="0" xfId="1" applyFont="1" applyAlignment="1">
      <alignment horizontal="center" vertical="center"/>
    </xf>
    <xf numFmtId="10" fontId="7" fillId="0" borderId="0" xfId="1" applyNumberFormat="1" applyFont="1" applyAlignment="1">
      <alignment horizontal="center" vertical="center"/>
    </xf>
    <xf numFmtId="164" fontId="7" fillId="0" borderId="0" xfId="1" applyNumberFormat="1" applyFont="1" applyAlignment="1">
      <alignment horizontal="center" vertical="center"/>
    </xf>
    <xf numFmtId="10" fontId="5" fillId="0" borderId="0" xfId="1" applyNumberFormat="1" applyFont="1" applyAlignment="1">
      <alignment horizontal="center" vertical="center" wrapText="1"/>
    </xf>
    <xf numFmtId="164" fontId="5" fillId="0" borderId="0" xfId="1" applyNumberFormat="1" applyFont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5" fillId="4" borderId="13" xfId="0" applyFont="1" applyFill="1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7" fillId="0" borderId="6" xfId="1" applyFont="1" applyBorder="1" applyAlignment="1">
      <alignment horizontal="center" vertical="center"/>
    </xf>
    <xf numFmtId="10" fontId="0" fillId="0" borderId="6" xfId="0" applyNumberFormat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5" fillId="0" borderId="8" xfId="1" applyFont="1" applyBorder="1" applyAlignment="1">
      <alignment horizontal="center" vertical="center" wrapText="1"/>
    </xf>
    <xf numFmtId="0" fontId="17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9" fillId="13" borderId="8" xfId="1" applyFont="1" applyFill="1" applyBorder="1" applyAlignment="1">
      <alignment horizontal="center" vertical="center" wrapText="1"/>
    </xf>
    <xf numFmtId="0" fontId="8" fillId="13" borderId="8" xfId="1" applyFont="1" applyFill="1" applyBorder="1" applyAlignment="1">
      <alignment horizontal="center" vertical="center"/>
    </xf>
    <xf numFmtId="0" fontId="8" fillId="13" borderId="5" xfId="1" applyFont="1" applyFill="1" applyBorder="1" applyAlignment="1">
      <alignment horizontal="center" vertical="center"/>
    </xf>
    <xf numFmtId="0" fontId="13" fillId="5" borderId="0" xfId="0" applyFont="1" applyFill="1" applyAlignment="1">
      <alignment horizontal="center" vertical="center" wrapText="1"/>
    </xf>
    <xf numFmtId="0" fontId="8" fillId="5" borderId="0" xfId="0" applyFont="1" applyFill="1" applyAlignment="1">
      <alignment horizontal="center" vertical="center"/>
    </xf>
    <xf numFmtId="0" fontId="13" fillId="5" borderId="0" xfId="0" applyFont="1" applyFill="1" applyAlignment="1">
      <alignment horizontal="center" vertical="top" wrapText="1"/>
    </xf>
    <xf numFmtId="0" fontId="8" fillId="5" borderId="0" xfId="0" applyFont="1" applyFill="1" applyAlignment="1">
      <alignment horizontal="center"/>
    </xf>
    <xf numFmtId="2" fontId="0" fillId="0" borderId="0" xfId="3" applyNumberFormat="1" applyFont="1" applyAlignment="1">
      <alignment horizontal="center" vertical="center" wrapText="1"/>
    </xf>
    <xf numFmtId="9" fontId="0" fillId="6" borderId="2" xfId="3" applyFont="1" applyFill="1" applyBorder="1" applyAlignment="1">
      <alignment horizontal="center" vertical="center"/>
    </xf>
    <xf numFmtId="2" fontId="0" fillId="0" borderId="0" xfId="3" applyNumberFormat="1" applyFont="1" applyBorder="1" applyAlignment="1">
      <alignment horizontal="center" vertical="center"/>
    </xf>
    <xf numFmtId="10" fontId="0" fillId="0" borderId="0" xfId="3" applyNumberFormat="1" applyFont="1" applyBorder="1" applyAlignment="1">
      <alignment horizontal="center" vertical="center"/>
    </xf>
    <xf numFmtId="0" fontId="2" fillId="0" borderId="0" xfId="1" applyFont="1" applyAlignment="1">
      <alignment horizontal="center" vertical="center" wrapText="1"/>
    </xf>
    <xf numFmtId="2" fontId="7" fillId="0" borderId="0" xfId="3" applyNumberFormat="1" applyFont="1" applyBorder="1" applyAlignment="1">
      <alignment horizontal="center" vertical="center"/>
    </xf>
    <xf numFmtId="9" fontId="0" fillId="8" borderId="0" xfId="3" applyFont="1" applyFill="1" applyBorder="1" applyAlignment="1">
      <alignment horizontal="center" vertical="center"/>
    </xf>
    <xf numFmtId="170" fontId="0" fillId="6" borderId="4" xfId="0" applyNumberFormat="1" applyFill="1" applyBorder="1" applyAlignment="1">
      <alignment horizontal="center" vertical="center"/>
    </xf>
    <xf numFmtId="170" fontId="0" fillId="8" borderId="7" xfId="0" applyNumberFormat="1" applyFill="1" applyBorder="1" applyAlignment="1">
      <alignment horizontal="center" vertical="center"/>
    </xf>
    <xf numFmtId="49" fontId="0" fillId="10" borderId="10" xfId="0" applyNumberFormat="1" applyFill="1" applyBorder="1" applyAlignment="1">
      <alignment horizontal="center" vertical="center"/>
    </xf>
    <xf numFmtId="2" fontId="7" fillId="0" borderId="0" xfId="1" applyNumberFormat="1" applyFont="1" applyAlignment="1">
      <alignment horizontal="center" vertical="center"/>
    </xf>
    <xf numFmtId="10" fontId="0" fillId="0" borderId="0" xfId="3" applyNumberFormat="1" applyFont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9" fillId="13" borderId="8" xfId="1" applyFont="1" applyFill="1" applyBorder="1" applyAlignment="1">
      <alignment horizontal="center" vertical="center"/>
    </xf>
    <xf numFmtId="10" fontId="5" fillId="0" borderId="0" xfId="1" applyNumberFormat="1" applyFont="1" applyAlignment="1">
      <alignment horizontal="center" vertical="center"/>
    </xf>
    <xf numFmtId="164" fontId="5" fillId="0" borderId="0" xfId="1" applyNumberFormat="1" applyFont="1" applyAlignment="1">
      <alignment horizontal="center" vertical="center"/>
    </xf>
    <xf numFmtId="0" fontId="21" fillId="13" borderId="8" xfId="1" applyFont="1" applyFill="1" applyBorder="1" applyAlignment="1">
      <alignment horizontal="center" vertical="center"/>
    </xf>
    <xf numFmtId="0" fontId="4" fillId="0" borderId="0" xfId="1" applyAlignment="1">
      <alignment horizontal="center" vertical="center"/>
    </xf>
    <xf numFmtId="0" fontId="10" fillId="13" borderId="8" xfId="1" applyFont="1" applyFill="1" applyBorder="1" applyAlignment="1">
      <alignment horizontal="center" vertical="center"/>
    </xf>
    <xf numFmtId="0" fontId="25" fillId="13" borderId="8" xfId="1" applyFont="1" applyFill="1" applyBorder="1" applyAlignment="1">
      <alignment horizontal="center" vertical="center"/>
    </xf>
    <xf numFmtId="0" fontId="26" fillId="13" borderId="8" xfId="1" applyFont="1" applyFill="1" applyBorder="1" applyAlignment="1">
      <alignment horizontal="center" vertical="center"/>
    </xf>
    <xf numFmtId="0" fontId="4" fillId="0" borderId="6" xfId="1" applyBorder="1" applyAlignment="1">
      <alignment horizontal="center" vertical="center"/>
    </xf>
    <xf numFmtId="0" fontId="10" fillId="13" borderId="5" xfId="1" applyFont="1" applyFill="1" applyBorder="1" applyAlignment="1">
      <alignment horizontal="center" vertical="center"/>
    </xf>
    <xf numFmtId="0" fontId="26" fillId="13" borderId="5" xfId="1" applyFont="1" applyFill="1" applyBorder="1" applyAlignment="1">
      <alignment horizontal="center" vertical="center"/>
    </xf>
    <xf numFmtId="170" fontId="0" fillId="2" borderId="0" xfId="0" applyNumberFormat="1" applyFill="1" applyAlignment="1">
      <alignment horizontal="center" vertical="center"/>
    </xf>
    <xf numFmtId="170" fontId="0" fillId="2" borderId="9" xfId="0" applyNumberFormat="1" applyFill="1" applyBorder="1" applyAlignment="1">
      <alignment horizontal="center" vertical="center"/>
    </xf>
    <xf numFmtId="0" fontId="2" fillId="2" borderId="2" xfId="1" applyFont="1" applyFill="1" applyBorder="1" applyAlignment="1">
      <alignment horizontal="center" vertical="center"/>
    </xf>
    <xf numFmtId="0" fontId="2" fillId="2" borderId="3" xfId="1" applyFont="1" applyFill="1" applyBorder="1" applyAlignment="1">
      <alignment horizontal="center" vertical="center"/>
    </xf>
    <xf numFmtId="0" fontId="2" fillId="2" borderId="4" xfId="1" applyFont="1" applyFill="1" applyBorder="1" applyAlignment="1">
      <alignment horizontal="center" vertical="center"/>
    </xf>
    <xf numFmtId="0" fontId="5" fillId="0" borderId="0" xfId="1" applyFont="1" applyAlignment="1">
      <alignment horizontal="left" vertical="center" wrapText="1"/>
    </xf>
    <xf numFmtId="0" fontId="24" fillId="13" borderId="3" xfId="1" applyFont="1" applyFill="1" applyBorder="1" applyAlignment="1">
      <alignment horizontal="center" vertical="center"/>
    </xf>
    <xf numFmtId="0" fontId="24" fillId="13" borderId="4" xfId="1" applyFont="1" applyFill="1" applyBorder="1" applyAlignment="1">
      <alignment horizontal="center" vertical="center"/>
    </xf>
    <xf numFmtId="0" fontId="2" fillId="0" borderId="0" xfId="1" applyFont="1" applyAlignment="1">
      <alignment horizontal="center" vertical="center" wrapText="1"/>
    </xf>
    <xf numFmtId="0" fontId="24" fillId="13" borderId="16" xfId="1" applyFont="1" applyFill="1" applyBorder="1" applyAlignment="1">
      <alignment horizontal="center" vertical="center"/>
    </xf>
    <xf numFmtId="0" fontId="24" fillId="13" borderId="17" xfId="1" applyFont="1" applyFill="1" applyBorder="1" applyAlignment="1">
      <alignment horizontal="center" vertical="center"/>
    </xf>
    <xf numFmtId="0" fontId="14" fillId="2" borderId="2" xfId="5" applyFont="1" applyFill="1" applyBorder="1" applyAlignment="1">
      <alignment horizontal="center" vertical="center" wrapText="1"/>
    </xf>
    <xf numFmtId="0" fontId="14" fillId="2" borderId="3" xfId="5" applyFont="1" applyFill="1" applyBorder="1" applyAlignment="1">
      <alignment horizontal="center" vertical="center" wrapText="1"/>
    </xf>
    <xf numFmtId="0" fontId="14" fillId="2" borderId="4" xfId="5" applyFont="1" applyFill="1" applyBorder="1" applyAlignment="1">
      <alignment horizontal="center" vertical="center" wrapText="1"/>
    </xf>
    <xf numFmtId="2" fontId="0" fillId="6" borderId="0" xfId="0" applyNumberFormat="1" applyFill="1" applyAlignment="1">
      <alignment horizontal="right" vertical="center"/>
    </xf>
    <xf numFmtId="2" fontId="0" fillId="10" borderId="0" xfId="3" applyNumberFormat="1" applyFont="1" applyFill="1" applyAlignment="1">
      <alignment horizontal="right" vertical="center"/>
    </xf>
    <xf numFmtId="2" fontId="0" fillId="0" borderId="6" xfId="0" applyNumberFormat="1" applyBorder="1" applyAlignment="1">
      <alignment horizontal="center" vertical="center"/>
    </xf>
    <xf numFmtId="0" fontId="13" fillId="0" borderId="0" xfId="0" applyFont="1" applyFill="1" applyAlignment="1">
      <alignment vertical="top" wrapText="1"/>
    </xf>
    <xf numFmtId="2" fontId="0" fillId="6" borderId="19" xfId="3" applyNumberFormat="1" applyFont="1" applyFill="1" applyBorder="1" applyAlignment="1">
      <alignment horizontal="center" vertical="center"/>
    </xf>
    <xf numFmtId="2" fontId="0" fillId="8" borderId="20" xfId="3" applyNumberFormat="1" applyFont="1" applyFill="1" applyBorder="1" applyAlignment="1">
      <alignment horizontal="center" vertical="center"/>
    </xf>
    <xf numFmtId="2" fontId="0" fillId="9" borderId="21" xfId="3" applyNumberFormat="1" applyFont="1" applyFill="1" applyBorder="1" applyAlignment="1">
      <alignment horizontal="center" vertical="center"/>
    </xf>
    <xf numFmtId="2" fontId="0" fillId="10" borderId="18" xfId="3" applyNumberFormat="1" applyFont="1" applyFill="1" applyBorder="1" applyAlignment="1">
      <alignment horizontal="center" vertical="center"/>
    </xf>
  </cellXfs>
  <cellStyles count="8">
    <cellStyle name="常规" xfId="0" builtinId="0"/>
    <cellStyle name="常规 2" xfId="1" xr:uid="{00000000-0005-0000-0000-000003000000}"/>
    <cellStyle name="常规 2 2" xfId="6" xr:uid="{4D846888-096A-4A30-B9D5-D4D967EB4800}"/>
    <cellStyle name="常规 4" xfId="4" xr:uid="{00000000-0005-0000-0000-000004000000}"/>
    <cellStyle name="百分比" xfId="3" builtinId="5"/>
    <cellStyle name="百分比 2" xfId="2" xr:uid="{00000000-0005-0000-0000-000001000000}"/>
    <cellStyle name="百分比 2 2" xfId="7" xr:uid="{C47F97EF-67D1-462C-81AC-C6F5EE8C14D9}"/>
    <cellStyle name="超链接" xfId="5" builtinId="8"/>
  </cellStyles>
  <dxfs count="0"/>
  <tableStyles count="0" defaultTableStyle="TableStyleMedium9" defaultPivotStyle="PivotStyleMedium4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571500</xdr:colOff>
          <xdr:row>1</xdr:row>
          <xdr:rowOff>25400</xdr:rowOff>
        </xdr:from>
        <xdr:to>
          <xdr:col>19</xdr:col>
          <xdr:colOff>146050</xdr:colOff>
          <xdr:row>2</xdr:row>
          <xdr:rowOff>177800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400" b="0" i="0" u="sng" strike="noStrike" baseline="0">
                  <a:solidFill>
                    <a:srgbClr val="993300"/>
                  </a:solidFill>
                  <a:latin typeface="Cambria"/>
                  <a:ea typeface="Cambria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514350</xdr:colOff>
          <xdr:row>1</xdr:row>
          <xdr:rowOff>25400</xdr:rowOff>
        </xdr:from>
        <xdr:to>
          <xdr:col>8</xdr:col>
          <xdr:colOff>127000</xdr:colOff>
          <xdr:row>2</xdr:row>
          <xdr:rowOff>177800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3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400" b="0" i="0" u="sng" strike="noStrike" baseline="0">
                  <a:solidFill>
                    <a:srgbClr val="993300"/>
                  </a:solidFill>
                  <a:latin typeface="Cambria"/>
                  <a:ea typeface="Cambria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15</xdr:row>
          <xdr:rowOff>44450</xdr:rowOff>
        </xdr:from>
        <xdr:to>
          <xdr:col>1</xdr:col>
          <xdr:colOff>419100</xdr:colOff>
          <xdr:row>16</xdr:row>
          <xdr:rowOff>196850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sng" strike="noStrike" baseline="0">
                  <a:solidFill>
                    <a:srgbClr val="993300"/>
                  </a:solidFill>
                  <a:latin typeface="宋体"/>
                  <a:ea typeface="宋体"/>
                </a:rPr>
                <a:t>Refresh</a:t>
              </a:r>
            </a:p>
            <a:p>
              <a:pPr algn="ctr" rtl="0">
                <a:defRPr sz="1000"/>
              </a:pPr>
              <a:endParaRPr lang="en-US" sz="1400" b="1" i="0" u="sng" strike="noStrike" baseline="0">
                <a:solidFill>
                  <a:srgbClr val="9933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520700</xdr:colOff>
          <xdr:row>23</xdr:row>
          <xdr:rowOff>165100</xdr:rowOff>
        </xdr:from>
        <xdr:to>
          <xdr:col>2</xdr:col>
          <xdr:colOff>95250</xdr:colOff>
          <xdr:row>26</xdr:row>
          <xdr:rowOff>63500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5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sng" strike="noStrike" baseline="0">
                  <a:solidFill>
                    <a:srgbClr val="993300"/>
                  </a:solidFill>
                  <a:latin typeface="宋体"/>
                  <a:ea typeface="宋体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tradingeconomics.com/china/government-bond-yield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>
    <tabColor rgb="FFFFFF00"/>
  </sheetPr>
  <dimension ref="A1:S52"/>
  <sheetViews>
    <sheetView workbookViewId="0">
      <selection activeCell="D25" sqref="D25"/>
    </sheetView>
  </sheetViews>
  <sheetFormatPr defaultRowHeight="15.5"/>
  <sheetData>
    <row r="1" spans="1:19">
      <c r="A1" s="3"/>
    </row>
    <row r="2" spans="1:19">
      <c r="A2" s="3"/>
      <c r="B2" s="3" t="s">
        <v>19</v>
      </c>
      <c r="C2" s="3" t="s">
        <v>20</v>
      </c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</row>
    <row r="3" spans="1:19">
      <c r="A3" s="6"/>
    </row>
    <row r="15" spans="1:19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</row>
    <row r="17" spans="1:19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</row>
    <row r="22" spans="1:19" s="3" customFormat="1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</row>
    <row r="36" s="3" customFormat="1"/>
    <row r="38" s="3" customFormat="1"/>
    <row r="52" s="3" customFormat="1"/>
  </sheetData>
  <phoneticPr fontId="3" type="noConversion"/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J25"/>
  <sheetViews>
    <sheetView zoomScale="150" zoomScaleNormal="150" zoomScaleSheetLayoutView="80" workbookViewId="0">
      <pane ySplit="7" topLeftCell="A8" activePane="bottomLeft" state="frozen"/>
      <selection pane="bottomLeft" activeCell="M40" sqref="M40"/>
    </sheetView>
  </sheetViews>
  <sheetFormatPr defaultColWidth="9" defaultRowHeight="15.5"/>
  <cols>
    <col min="1" max="1" width="9.75" style="153" customWidth="1"/>
    <col min="2" max="3" width="10.75" style="43" customWidth="1"/>
    <col min="4" max="4" width="8.83203125" customWidth="1"/>
    <col min="5" max="5" width="9.5" style="5" bestFit="1" customWidth="1"/>
    <col min="6" max="6" width="10.5" customWidth="1"/>
    <col min="7" max="7" width="10.75" customWidth="1"/>
    <col min="8" max="8" width="9.6640625" style="5" customWidth="1"/>
    <col min="9" max="9" width="9.5" bestFit="1" customWidth="1"/>
    <col min="10" max="10" width="10.83203125" customWidth="1"/>
    <col min="11" max="11" width="11.08203125" customWidth="1"/>
    <col min="12" max="12" width="9.08203125" style="4" customWidth="1"/>
    <col min="13" max="13" width="11.5" style="4" customWidth="1"/>
    <col min="14" max="14" width="11.58203125" style="4" bestFit="1" customWidth="1"/>
    <col min="15" max="15" width="9" style="5" customWidth="1"/>
    <col min="16" max="16" width="11.08203125" style="5" customWidth="1"/>
    <col min="19" max="19" width="9.58203125" style="5" customWidth="1"/>
    <col min="20" max="20" width="10.9140625" customWidth="1"/>
    <col min="21" max="21" width="11.75" customWidth="1"/>
  </cols>
  <sheetData>
    <row r="1" spans="1:36" s="8" customFormat="1" ht="28.5" customHeight="1" thickBot="1">
      <c r="A1" s="59" t="s">
        <v>113</v>
      </c>
      <c r="B1" s="46"/>
      <c r="C1" s="46"/>
      <c r="D1" s="46" t="s">
        <v>109</v>
      </c>
      <c r="E1" s="46"/>
      <c r="F1" s="46"/>
      <c r="G1" s="46"/>
      <c r="H1" s="46" t="s">
        <v>110</v>
      </c>
      <c r="I1" s="42"/>
      <c r="J1" s="42"/>
      <c r="K1" s="42"/>
      <c r="L1" s="46"/>
      <c r="M1" s="46" t="s">
        <v>111</v>
      </c>
      <c r="N1" s="46"/>
      <c r="O1" s="46"/>
      <c r="P1" s="46"/>
      <c r="Q1" s="46"/>
      <c r="V1"/>
    </row>
    <row r="2" spans="1:36">
      <c r="A2" s="105" t="s">
        <v>106</v>
      </c>
      <c r="B2" s="47"/>
      <c r="C2" s="47"/>
      <c r="D2" s="62">
        <v>250</v>
      </c>
      <c r="E2" s="63"/>
      <c r="F2" s="64"/>
      <c r="G2" s="64"/>
      <c r="H2" s="64">
        <v>50</v>
      </c>
      <c r="I2" s="64"/>
      <c r="J2" s="64"/>
      <c r="K2" s="64"/>
      <c r="L2" s="65"/>
      <c r="M2" s="163">
        <v>900</v>
      </c>
      <c r="N2" s="49"/>
      <c r="O2" s="47"/>
      <c r="P2" s="47"/>
      <c r="Q2" s="48"/>
      <c r="R2" s="9"/>
      <c r="S2" s="9"/>
      <c r="T2" s="9"/>
    </row>
    <row r="3" spans="1:36" ht="16" thickBot="1">
      <c r="A3" s="106" t="s">
        <v>105</v>
      </c>
      <c r="B3" s="50"/>
      <c r="C3" s="50"/>
      <c r="D3" s="67">
        <v>150</v>
      </c>
      <c r="E3" s="68"/>
      <c r="F3" s="69"/>
      <c r="G3" s="69"/>
      <c r="H3" s="69">
        <v>50</v>
      </c>
      <c r="I3" s="69"/>
      <c r="J3" s="69"/>
      <c r="K3" s="69"/>
      <c r="L3" s="70"/>
      <c r="M3" s="164">
        <v>400</v>
      </c>
      <c r="N3" s="52"/>
      <c r="O3" s="50"/>
      <c r="P3" s="50"/>
      <c r="Q3" s="51"/>
      <c r="R3" s="10"/>
      <c r="S3" s="10"/>
      <c r="T3" s="10"/>
    </row>
    <row r="4" spans="1:36" s="8" customFormat="1" ht="28.5" customHeight="1" thickBot="1">
      <c r="A4" s="59" t="s">
        <v>114</v>
      </c>
      <c r="B4" s="46"/>
      <c r="C4" s="46"/>
      <c r="D4" s="46" t="s">
        <v>112</v>
      </c>
      <c r="F4" s="46"/>
      <c r="G4" s="46"/>
      <c r="H4" s="46" t="s">
        <v>112</v>
      </c>
      <c r="J4" s="42"/>
      <c r="K4" s="42"/>
      <c r="L4" s="46"/>
      <c r="M4" s="46" t="s">
        <v>112</v>
      </c>
      <c r="O4" s="46"/>
      <c r="P4" s="46"/>
      <c r="Q4" s="46"/>
      <c r="S4" s="42" t="s">
        <v>154</v>
      </c>
    </row>
    <row r="5" spans="1:36">
      <c r="A5" s="107" t="s">
        <v>107</v>
      </c>
      <c r="B5" s="53"/>
      <c r="C5" s="53"/>
      <c r="D5" s="71" t="s">
        <v>138</v>
      </c>
      <c r="E5" s="72"/>
      <c r="F5" s="73"/>
      <c r="G5" s="73"/>
      <c r="H5" s="73" t="s">
        <v>151</v>
      </c>
      <c r="I5" s="73"/>
      <c r="J5" s="73"/>
      <c r="K5" s="73"/>
      <c r="L5" s="74"/>
      <c r="M5" s="75" t="s">
        <v>139</v>
      </c>
      <c r="N5" s="55"/>
      <c r="O5" s="53"/>
      <c r="P5" s="53"/>
      <c r="Q5" s="54"/>
      <c r="R5" s="11"/>
      <c r="S5" s="11"/>
      <c r="T5" s="11"/>
    </row>
    <row r="6" spans="1:36" ht="16" thickBot="1">
      <c r="A6" s="108" t="s">
        <v>108</v>
      </c>
      <c r="B6" s="56"/>
      <c r="C6" s="56"/>
      <c r="D6" s="76" t="s">
        <v>140</v>
      </c>
      <c r="E6" s="77"/>
      <c r="F6" s="78"/>
      <c r="G6" s="78"/>
      <c r="H6" s="78" t="s">
        <v>152</v>
      </c>
      <c r="I6" s="78"/>
      <c r="J6" s="78"/>
      <c r="K6" s="78"/>
      <c r="L6" s="79"/>
      <c r="M6" s="80" t="s">
        <v>141</v>
      </c>
      <c r="N6" s="58"/>
      <c r="O6" s="56"/>
      <c r="P6" s="56"/>
      <c r="Q6" s="57"/>
      <c r="R6" s="12"/>
      <c r="S6" s="12"/>
      <c r="T6" s="12"/>
    </row>
    <row r="7" spans="1:36" s="7" customFormat="1" ht="36" customHeight="1">
      <c r="A7" s="152"/>
      <c r="B7" s="17" t="s">
        <v>21</v>
      </c>
      <c r="C7" s="17" t="s">
        <v>22</v>
      </c>
      <c r="D7" s="18" t="s">
        <v>30</v>
      </c>
      <c r="E7" s="19" t="s">
        <v>23</v>
      </c>
      <c r="F7" s="20" t="s">
        <v>28</v>
      </c>
      <c r="G7" s="20" t="s">
        <v>29</v>
      </c>
      <c r="H7" s="60" t="s">
        <v>15</v>
      </c>
      <c r="I7" s="61" t="s">
        <v>31</v>
      </c>
      <c r="J7" s="20" t="s">
        <v>46</v>
      </c>
      <c r="K7" s="20" t="s">
        <v>24</v>
      </c>
      <c r="L7" s="21" t="s">
        <v>32</v>
      </c>
      <c r="M7" s="22" t="s">
        <v>44</v>
      </c>
      <c r="N7" s="18" t="s">
        <v>43</v>
      </c>
      <c r="O7" s="23" t="s">
        <v>27</v>
      </c>
      <c r="P7" s="24" t="s">
        <v>33</v>
      </c>
      <c r="Q7" s="18" t="s">
        <v>25</v>
      </c>
      <c r="R7" s="18" t="s">
        <v>26</v>
      </c>
      <c r="S7" s="19" t="s">
        <v>45</v>
      </c>
      <c r="T7" s="18" t="s">
        <v>102</v>
      </c>
      <c r="U7" s="32"/>
      <c r="V7" s="32"/>
      <c r="W7" s="33"/>
      <c r="X7" s="33"/>
      <c r="Y7" s="33"/>
      <c r="Z7" s="33"/>
      <c r="AA7" s="33"/>
      <c r="AB7" s="33"/>
      <c r="AC7" s="33"/>
      <c r="AD7" s="33"/>
      <c r="AE7" s="197"/>
      <c r="AF7" s="197"/>
      <c r="AG7" s="197"/>
      <c r="AH7" s="197"/>
      <c r="AI7" s="197"/>
      <c r="AJ7" s="197"/>
    </row>
    <row r="8" spans="1:36">
      <c r="A8" s="153">
        <v>1</v>
      </c>
      <c r="B8" s="44">
        <v>111007</v>
      </c>
      <c r="C8" s="44" t="s">
        <v>40</v>
      </c>
      <c r="D8" s="34">
        <v>130.262</v>
      </c>
      <c r="E8" s="39">
        <v>-2.4E-2</v>
      </c>
      <c r="F8" s="34">
        <v>23.83</v>
      </c>
      <c r="G8" s="34">
        <v>130.41999999999999</v>
      </c>
      <c r="H8" s="194">
        <v>-0.12</v>
      </c>
      <c r="I8" s="37">
        <v>130.142</v>
      </c>
      <c r="J8" s="40">
        <v>44865</v>
      </c>
      <c r="K8" s="40">
        <v>47036</v>
      </c>
      <c r="L8" s="41">
        <v>4.6189999999999998</v>
      </c>
      <c r="M8" s="41">
        <v>791.17700000000002</v>
      </c>
      <c r="N8" s="41">
        <v>165534.717</v>
      </c>
      <c r="O8" s="39">
        <v>0.16061928755463512</v>
      </c>
      <c r="P8" s="39">
        <v>-1.7911E-2</v>
      </c>
      <c r="Q8" s="34">
        <v>136.35499999999999</v>
      </c>
      <c r="R8" s="34">
        <v>130.00299999999999</v>
      </c>
      <c r="S8" s="39">
        <v>4.8860410913594339E-2</v>
      </c>
      <c r="T8" s="34" t="s">
        <v>50</v>
      </c>
    </row>
    <row r="9" spans="1:36">
      <c r="A9" s="153">
        <v>2</v>
      </c>
      <c r="B9" s="44">
        <v>127037</v>
      </c>
      <c r="C9" s="44" t="s">
        <v>34</v>
      </c>
      <c r="D9" s="34">
        <v>161.67599999999999</v>
      </c>
      <c r="E9" s="39">
        <v>-4.2500000000000003E-2</v>
      </c>
      <c r="F9" s="34">
        <v>10.61</v>
      </c>
      <c r="G9" s="34">
        <v>161.26</v>
      </c>
      <c r="H9" s="194">
        <v>0.26</v>
      </c>
      <c r="I9" s="37">
        <v>161.93599999999998</v>
      </c>
      <c r="J9" s="40">
        <v>44385</v>
      </c>
      <c r="K9" s="40">
        <v>46544</v>
      </c>
      <c r="L9" s="41">
        <v>3.2709999999999999</v>
      </c>
      <c r="M9" s="41">
        <v>618.81590000000006</v>
      </c>
      <c r="N9" s="41">
        <v>167743.102296</v>
      </c>
      <c r="O9" s="39">
        <v>0.16766316142546234</v>
      </c>
      <c r="P9" s="39">
        <v>-0.102312</v>
      </c>
      <c r="Q9" s="34">
        <v>169.25299999999999</v>
      </c>
      <c r="R9" s="34">
        <v>161.05000000000001</v>
      </c>
      <c r="S9" s="39">
        <v>5.0934492393666403E-2</v>
      </c>
      <c r="T9" s="34" t="s">
        <v>18</v>
      </c>
    </row>
    <row r="10" spans="1:36">
      <c r="A10" s="153">
        <v>3</v>
      </c>
      <c r="B10" s="45">
        <v>113066</v>
      </c>
      <c r="C10" s="44" t="s">
        <v>53</v>
      </c>
      <c r="D10" s="34">
        <v>154.197</v>
      </c>
      <c r="E10" s="39">
        <v>-1.7000000000000001E-3</v>
      </c>
      <c r="F10" s="34">
        <v>9.06</v>
      </c>
      <c r="G10" s="34">
        <v>153.63999999999999</v>
      </c>
      <c r="H10" s="194">
        <v>0.36</v>
      </c>
      <c r="I10" s="37">
        <v>154.55700000000002</v>
      </c>
      <c r="J10" s="40">
        <v>45025</v>
      </c>
      <c r="K10" s="40">
        <v>47192</v>
      </c>
      <c r="L10" s="41">
        <v>5.0469999999999997</v>
      </c>
      <c r="M10" s="41">
        <v>1439.0630000000001</v>
      </c>
      <c r="N10" s="41">
        <v>732158.85</v>
      </c>
      <c r="O10" s="39">
        <v>0.32995110326780541</v>
      </c>
      <c r="P10" s="39">
        <v>-6.3596E-2</v>
      </c>
      <c r="Q10" s="34">
        <v>158.19999999999999</v>
      </c>
      <c r="R10" s="34">
        <v>150.36199999999999</v>
      </c>
      <c r="S10" s="39">
        <v>5.2127532222236962E-2</v>
      </c>
      <c r="T10" s="34" t="s">
        <v>54</v>
      </c>
    </row>
    <row r="11" spans="1:36">
      <c r="A11" s="153">
        <v>4</v>
      </c>
      <c r="B11" s="44">
        <v>113648</v>
      </c>
      <c r="C11" s="44" t="s">
        <v>35</v>
      </c>
      <c r="D11" s="34">
        <v>135.22999999999999</v>
      </c>
      <c r="E11" s="39">
        <v>-3.7000000000000005E-2</v>
      </c>
      <c r="F11" s="34">
        <v>25.21</v>
      </c>
      <c r="G11" s="34">
        <v>133.76</v>
      </c>
      <c r="H11" s="194">
        <v>1.1000000000000001</v>
      </c>
      <c r="I11" s="37">
        <v>136.32999999999998</v>
      </c>
      <c r="J11" s="40">
        <v>44697</v>
      </c>
      <c r="K11" s="40">
        <v>46867</v>
      </c>
      <c r="L11" s="41">
        <v>4.1559999999999997</v>
      </c>
      <c r="M11" s="41">
        <v>906.85900000000004</v>
      </c>
      <c r="N11" s="41">
        <v>78478.135999999999</v>
      </c>
      <c r="O11" s="39">
        <v>6.3993500000380843E-2</v>
      </c>
      <c r="P11" s="39">
        <v>-3.2896999999999996E-2</v>
      </c>
      <c r="Q11" s="34">
        <v>141.9</v>
      </c>
      <c r="R11" s="34">
        <v>135.19999999999999</v>
      </c>
      <c r="S11" s="39">
        <v>4.9556213017751607E-2</v>
      </c>
      <c r="T11" s="34" t="s">
        <v>47</v>
      </c>
    </row>
    <row r="12" spans="1:36">
      <c r="A12" s="153">
        <v>5</v>
      </c>
      <c r="B12" s="44">
        <v>128106</v>
      </c>
      <c r="C12" s="44" t="s">
        <v>36</v>
      </c>
      <c r="D12" s="34">
        <v>210.1</v>
      </c>
      <c r="E12" s="39">
        <v>-4.6199999999999998E-2</v>
      </c>
      <c r="F12" s="34">
        <v>8.82</v>
      </c>
      <c r="G12" s="34">
        <v>205.9</v>
      </c>
      <c r="H12" s="194">
        <v>2.04</v>
      </c>
      <c r="I12" s="37">
        <v>212.14</v>
      </c>
      <c r="J12" s="40">
        <v>43958</v>
      </c>
      <c r="K12" s="40">
        <v>46121</v>
      </c>
      <c r="L12" s="41">
        <v>2.1120000000000001</v>
      </c>
      <c r="M12" s="41">
        <v>252.55850000000001</v>
      </c>
      <c r="N12" s="41">
        <v>158663.29963999998</v>
      </c>
      <c r="O12" s="39">
        <v>0.29901187749097397</v>
      </c>
      <c r="P12" s="39">
        <v>-0.26312999999999998</v>
      </c>
      <c r="Q12" s="34">
        <v>222.5</v>
      </c>
      <c r="R12" s="34">
        <v>209.5</v>
      </c>
      <c r="S12" s="39">
        <v>6.205250596658711E-2</v>
      </c>
      <c r="T12" s="34" t="s">
        <v>17</v>
      </c>
    </row>
    <row r="13" spans="1:36">
      <c r="A13" s="153">
        <v>6</v>
      </c>
      <c r="B13" s="44">
        <v>123092</v>
      </c>
      <c r="C13" s="44" t="s">
        <v>37</v>
      </c>
      <c r="D13" s="34">
        <v>144.50299999999999</v>
      </c>
      <c r="E13" s="39">
        <v>-1.1299999999999999E-2</v>
      </c>
      <c r="F13" s="34">
        <v>5.04</v>
      </c>
      <c r="G13" s="34">
        <v>139.68</v>
      </c>
      <c r="H13" s="194">
        <v>3.45</v>
      </c>
      <c r="I13" s="37">
        <v>147.95299999999997</v>
      </c>
      <c r="J13" s="40">
        <v>44210</v>
      </c>
      <c r="K13" s="40">
        <v>46379</v>
      </c>
      <c r="L13" s="41">
        <v>2.819</v>
      </c>
      <c r="M13" s="41">
        <v>398.81670000000003</v>
      </c>
      <c r="N13" s="41">
        <v>55934.851130000003</v>
      </c>
      <c r="O13" s="39">
        <v>9.7058212208728373E-2</v>
      </c>
      <c r="P13" s="39">
        <v>-6.7035999999999998E-2</v>
      </c>
      <c r="Q13" s="34">
        <v>149.61000000000001</v>
      </c>
      <c r="R13" s="34">
        <v>144.5</v>
      </c>
      <c r="S13" s="39">
        <v>3.5363321799308053E-2</v>
      </c>
      <c r="T13" s="34" t="s">
        <v>16</v>
      </c>
    </row>
    <row r="14" spans="1:36">
      <c r="A14" s="153">
        <v>7</v>
      </c>
      <c r="B14" s="44">
        <v>127014</v>
      </c>
      <c r="C14" s="44" t="s">
        <v>38</v>
      </c>
      <c r="D14" s="34">
        <v>148.74</v>
      </c>
      <c r="E14" s="39">
        <v>-4.1299999999999996E-2</v>
      </c>
      <c r="F14" s="34">
        <v>7.74</v>
      </c>
      <c r="G14" s="34">
        <v>138.88999999999999</v>
      </c>
      <c r="H14" s="194">
        <v>7.09</v>
      </c>
      <c r="I14" s="37">
        <v>155.83000000000001</v>
      </c>
      <c r="J14" s="40">
        <v>43789</v>
      </c>
      <c r="K14" s="40">
        <v>45953</v>
      </c>
      <c r="L14" s="41">
        <v>1.6519999999999999</v>
      </c>
      <c r="M14" s="41">
        <v>532.12819999999999</v>
      </c>
      <c r="N14" s="41">
        <v>289486.86307999998</v>
      </c>
      <c r="O14" s="39">
        <v>0.36575039869018283</v>
      </c>
      <c r="P14" s="39">
        <v>-0.15976899999999999</v>
      </c>
      <c r="Q14" s="34">
        <v>159.053</v>
      </c>
      <c r="R14" s="34">
        <v>148.74</v>
      </c>
      <c r="S14" s="39">
        <v>6.9335753664111793E-2</v>
      </c>
      <c r="T14" s="34" t="s">
        <v>48</v>
      </c>
    </row>
    <row r="15" spans="1:36">
      <c r="A15" s="153">
        <v>8</v>
      </c>
      <c r="B15" s="44">
        <v>123127</v>
      </c>
      <c r="C15" s="44" t="s">
        <v>39</v>
      </c>
      <c r="D15" s="34">
        <v>128</v>
      </c>
      <c r="E15" s="39">
        <v>-4.5499999999999999E-2</v>
      </c>
      <c r="F15" s="34">
        <v>24.4</v>
      </c>
      <c r="G15" s="34">
        <v>119.47</v>
      </c>
      <c r="H15" s="194">
        <v>7.14</v>
      </c>
      <c r="I15" s="37">
        <v>135.13999999999999</v>
      </c>
      <c r="J15" s="40">
        <v>44518</v>
      </c>
      <c r="K15" s="40">
        <v>46688</v>
      </c>
      <c r="L15" s="41">
        <v>3.6659999999999999</v>
      </c>
      <c r="M15" s="41">
        <v>399.67689999999999</v>
      </c>
      <c r="N15" s="41">
        <v>92198.816569999995</v>
      </c>
      <c r="O15" s="39">
        <v>0.18022138743898508</v>
      </c>
      <c r="P15" s="39">
        <v>-2.8913999999999999E-2</v>
      </c>
      <c r="Q15" s="34">
        <v>137.238</v>
      </c>
      <c r="R15" s="34">
        <v>128</v>
      </c>
      <c r="S15" s="39">
        <v>7.2171874999999996E-2</v>
      </c>
      <c r="T15" s="34" t="s">
        <v>49</v>
      </c>
    </row>
    <row r="16" spans="1:36">
      <c r="A16" s="153">
        <v>9</v>
      </c>
      <c r="B16" s="44">
        <v>110055</v>
      </c>
      <c r="C16" s="44" t="s">
        <v>41</v>
      </c>
      <c r="D16" s="34">
        <v>141.22800000000001</v>
      </c>
      <c r="E16" s="39">
        <v>-3.4099999999999998E-2</v>
      </c>
      <c r="F16" s="34">
        <v>15.59</v>
      </c>
      <c r="G16" s="34">
        <v>126.88</v>
      </c>
      <c r="H16" s="194">
        <v>11.31</v>
      </c>
      <c r="I16" s="37">
        <v>152.53800000000001</v>
      </c>
      <c r="J16" s="40">
        <v>43558</v>
      </c>
      <c r="K16" s="40">
        <v>45730</v>
      </c>
      <c r="L16" s="41">
        <v>1.0409999999999999</v>
      </c>
      <c r="M16" s="41">
        <v>243.215</v>
      </c>
      <c r="N16" s="41">
        <v>75267.654999999999</v>
      </c>
      <c r="O16" s="39">
        <v>0.21912766989539323</v>
      </c>
      <c r="P16" s="39">
        <v>-0.20306999999999997</v>
      </c>
      <c r="Q16" s="34">
        <v>146.797</v>
      </c>
      <c r="R16" s="34">
        <v>140</v>
      </c>
      <c r="S16" s="39">
        <v>4.8549999999999982E-2</v>
      </c>
      <c r="T16" s="34" t="s">
        <v>51</v>
      </c>
    </row>
    <row r="17" spans="1:20">
      <c r="A17" s="153">
        <v>10</v>
      </c>
      <c r="B17" s="44">
        <v>118019</v>
      </c>
      <c r="C17" s="44" t="s">
        <v>42</v>
      </c>
      <c r="D17" s="34">
        <v>125.075</v>
      </c>
      <c r="E17" s="39">
        <v>-1.06E-2</v>
      </c>
      <c r="F17" s="34">
        <v>34.450000000000003</v>
      </c>
      <c r="G17" s="34">
        <v>110.74</v>
      </c>
      <c r="H17" s="194">
        <v>12.94</v>
      </c>
      <c r="I17" s="37">
        <v>138.01500000000001</v>
      </c>
      <c r="J17" s="40">
        <v>44846</v>
      </c>
      <c r="K17" s="40">
        <v>47011</v>
      </c>
      <c r="L17" s="41">
        <v>4.5510000000000002</v>
      </c>
      <c r="M17" s="41">
        <v>976.63599999999997</v>
      </c>
      <c r="N17" s="41">
        <v>84081.267999999996</v>
      </c>
      <c r="O17" s="39">
        <v>6.8832891263730461E-2</v>
      </c>
      <c r="P17" s="39">
        <v>-1.8994999999999998E-2</v>
      </c>
      <c r="Q17" s="34">
        <v>127.76300000000001</v>
      </c>
      <c r="R17" s="34">
        <v>124.8</v>
      </c>
      <c r="S17" s="39">
        <v>2.3741987179487244E-2</v>
      </c>
      <c r="T17" s="34" t="s">
        <v>52</v>
      </c>
    </row>
    <row r="18" spans="1:20">
      <c r="A18" s="153">
        <v>11</v>
      </c>
      <c r="B18" s="45">
        <v>127032</v>
      </c>
      <c r="C18" s="44" t="s">
        <v>55</v>
      </c>
      <c r="D18" s="34">
        <v>118.5</v>
      </c>
      <c r="E18" s="39">
        <v>-3.0000000000000001E-3</v>
      </c>
      <c r="F18" s="34">
        <v>6.78</v>
      </c>
      <c r="G18" s="34">
        <v>103.54</v>
      </c>
      <c r="H18" s="194">
        <v>14.45</v>
      </c>
      <c r="I18" s="37">
        <v>132.94999999999999</v>
      </c>
      <c r="J18" s="40">
        <v>44327</v>
      </c>
      <c r="K18" s="40">
        <v>46488</v>
      </c>
      <c r="L18" s="41">
        <v>3.1179999999999999</v>
      </c>
      <c r="M18" s="41">
        <v>4999.4674999999997</v>
      </c>
      <c r="N18" s="41">
        <v>88086.908840000004</v>
      </c>
      <c r="O18" s="39">
        <v>1.4868572336709135E-2</v>
      </c>
      <c r="P18" s="39">
        <v>-1.119E-2</v>
      </c>
      <c r="Q18" s="34">
        <v>119.06</v>
      </c>
      <c r="R18" s="34">
        <v>118.47</v>
      </c>
      <c r="S18" s="39">
        <v>4.9801637545370423E-3</v>
      </c>
      <c r="T18" s="34" t="s">
        <v>56</v>
      </c>
    </row>
    <row r="19" spans="1:20">
      <c r="A19" s="153">
        <v>12</v>
      </c>
      <c r="B19" s="44">
        <v>128081</v>
      </c>
      <c r="C19" s="44" t="s">
        <v>95</v>
      </c>
      <c r="D19" s="34">
        <v>112.669</v>
      </c>
      <c r="E19" s="39">
        <v>-1.0800000000000001E-2</v>
      </c>
      <c r="F19" s="34">
        <v>9.5399999999999991</v>
      </c>
      <c r="G19" s="34">
        <v>96.65</v>
      </c>
      <c r="H19" s="194">
        <v>16.57</v>
      </c>
      <c r="I19" s="37">
        <v>129.239</v>
      </c>
      <c r="J19" s="40">
        <v>43814</v>
      </c>
      <c r="K19" s="40">
        <v>45981</v>
      </c>
      <c r="L19" s="41">
        <v>1.7290000000000001</v>
      </c>
      <c r="M19" s="41">
        <v>2702.3721999999993</v>
      </c>
      <c r="N19" s="41">
        <v>83109.128474000012</v>
      </c>
      <c r="O19" s="39">
        <v>2.729600718559725E-2</v>
      </c>
      <c r="P19" s="39">
        <v>-4.5030000000000001E-3</v>
      </c>
      <c r="Q19" s="34">
        <v>115.27</v>
      </c>
      <c r="R19" s="34">
        <v>112.669</v>
      </c>
      <c r="S19" s="39">
        <v>2.308532071820997E-2</v>
      </c>
      <c r="T19" s="34" t="s">
        <v>96</v>
      </c>
    </row>
    <row r="20" spans="1:20">
      <c r="A20" s="153">
        <v>13</v>
      </c>
      <c r="B20" s="45">
        <v>123236</v>
      </c>
      <c r="C20" s="44" t="s">
        <v>57</v>
      </c>
      <c r="D20" s="34">
        <v>116.148</v>
      </c>
      <c r="E20" s="39">
        <v>-3.5299999999999998E-2</v>
      </c>
      <c r="F20" s="34">
        <v>18.690000000000001</v>
      </c>
      <c r="G20" s="34">
        <v>83.9</v>
      </c>
      <c r="H20" s="194">
        <v>38.44</v>
      </c>
      <c r="I20" s="37">
        <v>154.58799999999999</v>
      </c>
      <c r="J20" s="40">
        <v>45308</v>
      </c>
      <c r="K20" s="40">
        <v>47473</v>
      </c>
      <c r="L20" s="41">
        <v>5.8159999999999998</v>
      </c>
      <c r="M20" s="41">
        <v>750</v>
      </c>
      <c r="N20" s="41">
        <v>34343.401485000002</v>
      </c>
      <c r="O20" s="39">
        <v>3.9424873420119161E-2</v>
      </c>
      <c r="P20" s="39">
        <v>5.4139999999999995E-3</v>
      </c>
      <c r="Q20" s="34">
        <v>121.226</v>
      </c>
      <c r="R20" s="34">
        <v>116</v>
      </c>
      <c r="S20" s="39">
        <v>4.5051724137931029E-2</v>
      </c>
      <c r="T20" s="34" t="s">
        <v>58</v>
      </c>
    </row>
    <row r="21" spans="1:20">
      <c r="A21" s="153">
        <v>14</v>
      </c>
      <c r="B21" s="45">
        <v>127101</v>
      </c>
      <c r="C21" s="44" t="s">
        <v>59</v>
      </c>
      <c r="D21" s="34">
        <v>106.968</v>
      </c>
      <c r="E21" s="39">
        <v>-2.06E-2</v>
      </c>
      <c r="F21" s="34">
        <v>50.65</v>
      </c>
      <c r="G21" s="34">
        <v>67.959999999999994</v>
      </c>
      <c r="H21" s="194">
        <v>57.4</v>
      </c>
      <c r="I21" s="37">
        <v>164.36799999999999</v>
      </c>
      <c r="J21" s="40">
        <v>45301</v>
      </c>
      <c r="K21" s="40">
        <v>47473</v>
      </c>
      <c r="L21" s="41">
        <v>5.8159999999999998</v>
      </c>
      <c r="M21" s="41">
        <v>1100</v>
      </c>
      <c r="N21" s="41">
        <v>30959.295624000002</v>
      </c>
      <c r="O21" s="39">
        <v>2.6311433516225755E-2</v>
      </c>
      <c r="P21" s="39">
        <v>1.61E-2</v>
      </c>
      <c r="Q21" s="34">
        <v>109.598</v>
      </c>
      <c r="R21" s="34">
        <v>105.3</v>
      </c>
      <c r="S21" s="39">
        <v>4.0816714150047499E-2</v>
      </c>
      <c r="T21" s="34" t="s">
        <v>60</v>
      </c>
    </row>
    <row r="22" spans="1:20">
      <c r="A22" s="153">
        <v>15</v>
      </c>
      <c r="B22" s="45">
        <v>127091</v>
      </c>
      <c r="C22" s="44" t="s">
        <v>61</v>
      </c>
      <c r="D22" s="34">
        <v>113.511</v>
      </c>
      <c r="E22" s="39">
        <v>-3.0000000000000001E-3</v>
      </c>
      <c r="F22" s="34">
        <v>34.67</v>
      </c>
      <c r="G22" s="34">
        <v>69.14</v>
      </c>
      <c r="H22" s="194">
        <v>64.180000000000007</v>
      </c>
      <c r="I22" s="37">
        <v>177.691</v>
      </c>
      <c r="J22" s="40">
        <v>45180</v>
      </c>
      <c r="K22" s="40">
        <v>47352</v>
      </c>
      <c r="L22" s="41">
        <v>5.4850000000000003</v>
      </c>
      <c r="M22" s="41">
        <v>1492.068</v>
      </c>
      <c r="N22" s="41">
        <v>38124.968884999995</v>
      </c>
      <c r="O22" s="39">
        <v>2.2510385468819716E-2</v>
      </c>
      <c r="P22" s="39">
        <v>4.1929999999999997E-3</v>
      </c>
      <c r="Q22" s="34">
        <v>115.18</v>
      </c>
      <c r="R22" s="34">
        <v>113.211</v>
      </c>
      <c r="S22" s="39">
        <v>1.739230286809593E-2</v>
      </c>
      <c r="T22" s="34" t="s">
        <v>62</v>
      </c>
    </row>
    <row r="23" spans="1:20">
      <c r="A23" s="153">
        <v>16</v>
      </c>
      <c r="B23" s="45">
        <v>113665</v>
      </c>
      <c r="C23" s="44" t="s">
        <v>65</v>
      </c>
      <c r="D23" s="34">
        <v>97.903000000000006</v>
      </c>
      <c r="E23" s="39">
        <v>-2.2400000000000003E-2</v>
      </c>
      <c r="F23" s="34">
        <v>8.2100000000000009</v>
      </c>
      <c r="G23" s="34">
        <v>54.57</v>
      </c>
      <c r="H23" s="194">
        <v>79.41</v>
      </c>
      <c r="I23" s="37">
        <v>177.31299999999999</v>
      </c>
      <c r="J23" s="40">
        <v>44936</v>
      </c>
      <c r="K23" s="40">
        <v>47101</v>
      </c>
      <c r="L23" s="41">
        <v>4.7969999999999997</v>
      </c>
      <c r="M23" s="41">
        <v>359.99</v>
      </c>
      <c r="N23" s="41">
        <v>28106.852999999999</v>
      </c>
      <c r="O23" s="39">
        <v>7.974909907313206E-2</v>
      </c>
      <c r="P23" s="39">
        <v>4.4137000000000003E-2</v>
      </c>
      <c r="Q23" s="34">
        <v>101.43</v>
      </c>
      <c r="R23" s="34">
        <v>97.536000000000001</v>
      </c>
      <c r="S23" s="39">
        <v>3.9923720472440999E-2</v>
      </c>
      <c r="T23" s="34" t="s">
        <v>66</v>
      </c>
    </row>
    <row r="24" spans="1:20">
      <c r="A24" s="153">
        <v>17</v>
      </c>
      <c r="B24" s="45">
        <v>118035</v>
      </c>
      <c r="C24" s="44" t="s">
        <v>63</v>
      </c>
      <c r="D24" s="34">
        <v>105.34</v>
      </c>
      <c r="E24" s="39">
        <v>-2.5000000000000001E-2</v>
      </c>
      <c r="F24" s="34">
        <v>62.79</v>
      </c>
      <c r="G24" s="34">
        <v>54.28</v>
      </c>
      <c r="H24" s="194">
        <v>94.07</v>
      </c>
      <c r="I24" s="37">
        <v>199.41</v>
      </c>
      <c r="J24" s="40">
        <v>45112</v>
      </c>
      <c r="K24" s="40">
        <v>47280</v>
      </c>
      <c r="L24" s="41">
        <v>5.2880000000000003</v>
      </c>
      <c r="M24" s="41">
        <v>479.98200000000003</v>
      </c>
      <c r="N24" s="41">
        <v>19810.782999999999</v>
      </c>
      <c r="O24" s="39">
        <v>3.9181709093218893E-2</v>
      </c>
      <c r="P24" s="39">
        <v>2.5574E-2</v>
      </c>
      <c r="Q24" s="34">
        <v>108.84</v>
      </c>
      <c r="R24" s="34">
        <v>105.34</v>
      </c>
      <c r="S24" s="39">
        <v>3.3225745205999621E-2</v>
      </c>
      <c r="T24" s="34" t="s">
        <v>64</v>
      </c>
    </row>
    <row r="25" spans="1:20">
      <c r="A25" s="153">
        <v>18</v>
      </c>
      <c r="B25" s="45">
        <v>127089</v>
      </c>
      <c r="C25" s="44" t="s">
        <v>67</v>
      </c>
      <c r="D25" s="34">
        <v>102.7</v>
      </c>
      <c r="E25" s="39">
        <v>-1.5E-3</v>
      </c>
      <c r="F25" s="34">
        <v>38.74</v>
      </c>
      <c r="G25" s="34">
        <v>46.64</v>
      </c>
      <c r="H25" s="194">
        <v>120.2</v>
      </c>
      <c r="I25" s="37">
        <v>222.9</v>
      </c>
      <c r="J25" s="40">
        <v>45141</v>
      </c>
      <c r="K25" s="40">
        <v>47316</v>
      </c>
      <c r="L25" s="41">
        <v>5.3860000000000001</v>
      </c>
      <c r="M25" s="41">
        <v>8959.8826000000008</v>
      </c>
      <c r="N25" s="41">
        <v>75344.694253000009</v>
      </c>
      <c r="O25" s="39">
        <v>8.188039179132859E-3</v>
      </c>
      <c r="P25" s="39">
        <v>1.7328E-2</v>
      </c>
      <c r="Q25" s="34">
        <v>103.499</v>
      </c>
      <c r="R25" s="34">
        <v>102.511</v>
      </c>
      <c r="S25" s="39">
        <v>9.637990069358407E-3</v>
      </c>
      <c r="T25" s="34" t="s">
        <v>68</v>
      </c>
    </row>
  </sheetData>
  <autoFilter ref="A7:T25" xr:uid="{00000000-0009-0000-0000-000001000000}">
    <sortState xmlns:xlrd2="http://schemas.microsoft.com/office/spreadsheetml/2017/richdata2" ref="A8:T25">
      <sortCondition ref="H7:H25"/>
    </sortState>
  </autoFilter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模块1.refresh_convertible_bond">
                <anchor moveWithCells="1" sizeWithCells="1">
                  <from>
                    <xdr:col>17</xdr:col>
                    <xdr:colOff>571500</xdr:colOff>
                    <xdr:row>1</xdr:row>
                    <xdr:rowOff>25400</xdr:rowOff>
                  </from>
                  <to>
                    <xdr:col>19</xdr:col>
                    <xdr:colOff>146050</xdr:colOff>
                    <xdr:row>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788C9-3144-43F2-A323-C40C849C7726}">
  <sheetPr codeName="Sheet4"/>
  <dimension ref="A1:AM25"/>
  <sheetViews>
    <sheetView zoomScale="135" zoomScaleNormal="135" zoomScaleSheetLayoutView="80" workbookViewId="0">
      <pane ySplit="7" topLeftCell="A8" activePane="bottomLeft" state="frozen"/>
      <selection pane="bottomLeft" activeCell="X7" sqref="X7"/>
    </sheetView>
  </sheetViews>
  <sheetFormatPr defaultColWidth="9" defaultRowHeight="15.5"/>
  <cols>
    <col min="1" max="1" width="9.75" style="155" customWidth="1"/>
    <col min="2" max="3" width="10.75" style="43" customWidth="1"/>
    <col min="4" max="4" width="9.33203125" customWidth="1"/>
    <col min="5" max="5" width="9.83203125" style="28" customWidth="1"/>
    <col min="6" max="6" width="10.75" customWidth="1"/>
    <col min="7" max="7" width="8.75" style="5" customWidth="1"/>
    <col min="8" max="8" width="9.33203125" customWidth="1"/>
    <col min="9" max="12" width="8.25" customWidth="1"/>
    <col min="13" max="13" width="9.08203125" style="4" customWidth="1"/>
    <col min="14" max="14" width="9.33203125" style="4" customWidth="1"/>
    <col min="15" max="15" width="11.58203125" style="4" bestFit="1" customWidth="1"/>
    <col min="16" max="16" width="11.08203125" style="4" customWidth="1"/>
    <col min="17" max="17" width="8.08203125" customWidth="1"/>
    <col min="19" max="19" width="11.75" style="26" customWidth="1"/>
    <col min="20" max="20" width="8.33203125" style="4" customWidth="1"/>
    <col min="21" max="21" width="7.08203125" style="26" customWidth="1"/>
    <col min="22" max="22" width="10.08203125" style="26" customWidth="1"/>
    <col min="23" max="23" width="9.9140625" customWidth="1"/>
    <col min="24" max="24" width="11.58203125" style="4" customWidth="1"/>
  </cols>
  <sheetData>
    <row r="1" spans="1:39" s="8" customFormat="1" ht="28.5" customHeight="1" thickBot="1">
      <c r="A1" s="104" t="s">
        <v>104</v>
      </c>
      <c r="B1" s="81"/>
      <c r="C1" s="81"/>
      <c r="D1" s="46" t="s">
        <v>109</v>
      </c>
      <c r="E1" s="81"/>
      <c r="F1" s="46"/>
      <c r="G1" s="46"/>
      <c r="H1" s="46"/>
      <c r="I1" s="42"/>
      <c r="J1" s="42"/>
      <c r="K1" s="42"/>
      <c r="L1" s="191" t="s">
        <v>94</v>
      </c>
      <c r="M1" s="192"/>
      <c r="N1" s="193"/>
      <c r="O1" s="46"/>
      <c r="P1" s="46" t="s">
        <v>123</v>
      </c>
      <c r="Q1" s="46"/>
      <c r="R1" s="46"/>
      <c r="S1" s="112"/>
      <c r="T1" s="46"/>
      <c r="U1" s="112"/>
      <c r="V1" s="112"/>
      <c r="W1" s="46" t="s">
        <v>124</v>
      </c>
      <c r="X1" s="46" t="s">
        <v>125</v>
      </c>
      <c r="Y1"/>
    </row>
    <row r="2" spans="1:39">
      <c r="A2" s="105" t="s">
        <v>122</v>
      </c>
      <c r="B2" s="82"/>
      <c r="C2" s="82"/>
      <c r="D2" s="198">
        <v>250</v>
      </c>
      <c r="E2" s="82"/>
      <c r="F2" s="48"/>
      <c r="G2" s="48"/>
      <c r="H2" s="48"/>
      <c r="I2" s="48"/>
      <c r="J2" s="48"/>
      <c r="K2" s="48"/>
      <c r="L2" s="111" t="s">
        <v>93</v>
      </c>
      <c r="M2" s="180">
        <v>20240226</v>
      </c>
      <c r="N2" s="181"/>
      <c r="O2" s="49"/>
      <c r="P2" s="157">
        <v>-0.1</v>
      </c>
      <c r="Q2" s="64"/>
      <c r="R2" s="64"/>
      <c r="S2" s="113"/>
      <c r="T2" s="65"/>
      <c r="U2" s="113"/>
      <c r="V2" s="65"/>
      <c r="W2" s="65"/>
      <c r="X2" s="66"/>
    </row>
    <row r="3" spans="1:39" ht="16" thickBot="1">
      <c r="A3" s="109" t="s">
        <v>118</v>
      </c>
      <c r="B3" s="83"/>
      <c r="C3" s="83"/>
      <c r="D3" s="199">
        <v>150</v>
      </c>
      <c r="E3" s="83"/>
      <c r="F3" s="51"/>
      <c r="G3" s="51"/>
      <c r="H3" s="51"/>
      <c r="I3" s="51"/>
      <c r="J3" s="51"/>
      <c r="K3" s="51"/>
      <c r="L3" s="97"/>
      <c r="M3" s="99">
        <v>2.4380000000000002</v>
      </c>
      <c r="N3" s="98"/>
      <c r="O3" s="52"/>
      <c r="P3" s="114">
        <v>4</v>
      </c>
      <c r="Q3" s="51"/>
      <c r="R3" s="51"/>
      <c r="S3" s="115"/>
      <c r="T3" s="52"/>
      <c r="U3" s="115"/>
      <c r="V3" s="52"/>
      <c r="W3" s="162">
        <v>-0.05</v>
      </c>
      <c r="X3" s="116"/>
    </row>
    <row r="4" spans="1:39" ht="16" thickBot="1">
      <c r="A4" s="110" t="s">
        <v>119</v>
      </c>
      <c r="B4" s="84"/>
      <c r="C4" s="84"/>
      <c r="D4" s="200">
        <v>150</v>
      </c>
      <c r="E4" s="84"/>
      <c r="F4" s="54"/>
      <c r="G4" s="25" t="s">
        <v>153</v>
      </c>
      <c r="H4" s="54"/>
      <c r="I4" s="54"/>
      <c r="J4" s="54"/>
      <c r="K4" s="54"/>
      <c r="L4" s="54"/>
      <c r="M4" s="54"/>
      <c r="N4" s="54"/>
      <c r="O4" s="55"/>
      <c r="P4" s="117"/>
      <c r="Q4" s="118"/>
      <c r="R4" s="118"/>
      <c r="S4" s="118">
        <v>100</v>
      </c>
      <c r="T4" s="119"/>
      <c r="U4" s="120"/>
      <c r="V4" s="119"/>
      <c r="W4" s="119"/>
      <c r="X4" s="121">
        <v>0</v>
      </c>
    </row>
    <row r="5" spans="1:39" s="8" customFormat="1" ht="28.5" customHeight="1" thickBot="1">
      <c r="A5" s="59" t="s">
        <v>114</v>
      </c>
      <c r="B5" s="81"/>
      <c r="C5" s="81"/>
      <c r="D5" s="156" t="s">
        <v>112</v>
      </c>
      <c r="E5" s="81"/>
      <c r="F5" s="46"/>
      <c r="G5" s="46"/>
      <c r="H5" s="46"/>
      <c r="I5" s="42"/>
      <c r="J5" s="42"/>
      <c r="K5" s="42"/>
      <c r="L5" s="46"/>
      <c r="M5" s="46"/>
      <c r="N5" s="46"/>
      <c r="O5" s="46"/>
      <c r="P5" s="46" t="s">
        <v>112</v>
      </c>
      <c r="Q5" s="46"/>
      <c r="R5" s="46"/>
      <c r="S5" s="42"/>
      <c r="T5" s="46"/>
      <c r="U5" s="112"/>
      <c r="V5" s="112"/>
      <c r="W5" s="46" t="s">
        <v>112</v>
      </c>
      <c r="X5" s="46" t="s">
        <v>112</v>
      </c>
      <c r="Y5"/>
    </row>
    <row r="6" spans="1:39" ht="16" thickBot="1">
      <c r="A6" s="108" t="s">
        <v>120</v>
      </c>
      <c r="B6" s="85"/>
      <c r="C6" s="85"/>
      <c r="D6" s="201">
        <v>7</v>
      </c>
      <c r="E6" s="85"/>
      <c r="F6" s="57"/>
      <c r="G6" s="57"/>
      <c r="H6" s="57"/>
      <c r="I6" s="57"/>
      <c r="J6" s="57"/>
      <c r="K6" s="57"/>
      <c r="L6" s="57"/>
      <c r="M6" s="58"/>
      <c r="N6" s="58"/>
      <c r="O6" s="58"/>
      <c r="P6" s="165" t="s">
        <v>146</v>
      </c>
      <c r="Q6" s="122"/>
      <c r="R6" s="122"/>
      <c r="S6" s="123"/>
      <c r="T6" s="124"/>
      <c r="U6" s="123"/>
      <c r="V6" s="124"/>
      <c r="W6" s="165" t="s">
        <v>145</v>
      </c>
      <c r="X6" s="125" t="s">
        <v>144</v>
      </c>
    </row>
    <row r="7" spans="1:39" s="7" customFormat="1" ht="36" customHeight="1">
      <c r="A7" s="154"/>
      <c r="B7" s="17" t="s">
        <v>21</v>
      </c>
      <c r="C7" s="17" t="s">
        <v>22</v>
      </c>
      <c r="D7" s="18" t="s">
        <v>30</v>
      </c>
      <c r="E7" s="27" t="s">
        <v>28</v>
      </c>
      <c r="F7" s="20" t="s">
        <v>29</v>
      </c>
      <c r="G7" s="20" t="s">
        <v>32</v>
      </c>
      <c r="H7" s="103" t="s">
        <v>15</v>
      </c>
      <c r="I7" s="88" t="s">
        <v>102</v>
      </c>
      <c r="J7" s="89" t="s">
        <v>98</v>
      </c>
      <c r="K7" s="89" t="s">
        <v>99</v>
      </c>
      <c r="L7" s="90" t="s">
        <v>69</v>
      </c>
      <c r="M7" s="91" t="s">
        <v>70</v>
      </c>
      <c r="N7" s="91" t="s">
        <v>116</v>
      </c>
      <c r="O7" s="89" t="s">
        <v>103</v>
      </c>
      <c r="P7" s="92" t="s">
        <v>117</v>
      </c>
      <c r="Q7" s="20" t="s">
        <v>71</v>
      </c>
      <c r="R7" s="30" t="s">
        <v>72</v>
      </c>
      <c r="S7" s="31" t="s">
        <v>115</v>
      </c>
      <c r="T7" s="19" t="s">
        <v>92</v>
      </c>
      <c r="U7" s="31" t="s">
        <v>100</v>
      </c>
      <c r="V7" s="31" t="s">
        <v>73</v>
      </c>
      <c r="W7" s="93" t="s">
        <v>74</v>
      </c>
      <c r="X7" s="95" t="s">
        <v>101</v>
      </c>
      <c r="Y7" s="32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</row>
    <row r="8" spans="1:39" s="34" customFormat="1">
      <c r="A8" s="153">
        <v>9</v>
      </c>
      <c r="B8" s="44">
        <v>110055</v>
      </c>
      <c r="C8" s="44" t="s">
        <v>41</v>
      </c>
      <c r="D8" s="34">
        <v>141.22800000000001</v>
      </c>
      <c r="E8" s="36">
        <v>15.59</v>
      </c>
      <c r="F8" s="34">
        <v>126.88</v>
      </c>
      <c r="G8" s="34">
        <v>1.0409999999999999</v>
      </c>
      <c r="H8" s="195">
        <v>11.31</v>
      </c>
      <c r="I8" s="86" t="s">
        <v>51</v>
      </c>
      <c r="J8" s="87" t="s">
        <v>83</v>
      </c>
      <c r="K8" s="34">
        <v>19.78</v>
      </c>
      <c r="L8" s="26">
        <v>2.073</v>
      </c>
      <c r="M8" s="29">
        <v>2.4380000000000002</v>
      </c>
      <c r="N8" s="26">
        <v>45.91</v>
      </c>
      <c r="O8" s="100">
        <v>34.406292731046676</v>
      </c>
      <c r="P8" s="38">
        <v>-0.1150370726895332</v>
      </c>
      <c r="Q8">
        <v>10.91</v>
      </c>
      <c r="R8" s="26">
        <v>20.27</v>
      </c>
      <c r="S8">
        <v>108.98</v>
      </c>
      <c r="T8" s="35">
        <v>36.471806689752519</v>
      </c>
      <c r="U8" s="35">
        <v>32.248000000000005</v>
      </c>
      <c r="V8" s="35">
        <v>145.45180668975252</v>
      </c>
      <c r="W8" s="94">
        <v>-2.9039217771710812E-2</v>
      </c>
      <c r="X8" s="96">
        <v>9.8565551946045507E-2</v>
      </c>
    </row>
    <row r="9" spans="1:39" s="34" customFormat="1">
      <c r="A9" s="153">
        <v>1</v>
      </c>
      <c r="B9" s="44">
        <v>111007</v>
      </c>
      <c r="C9" s="44" t="s">
        <v>40</v>
      </c>
      <c r="D9" s="34">
        <v>130.262</v>
      </c>
      <c r="E9" s="36">
        <v>23.83</v>
      </c>
      <c r="F9" s="34">
        <v>130.41999999999999</v>
      </c>
      <c r="G9" s="34">
        <v>4.6189999999999998</v>
      </c>
      <c r="H9" s="195">
        <v>-0.12</v>
      </c>
      <c r="I9" s="86" t="s">
        <v>50</v>
      </c>
      <c r="J9" s="87" t="s">
        <v>82</v>
      </c>
      <c r="K9" s="34">
        <v>31.08</v>
      </c>
      <c r="L9" s="26">
        <v>0.57299999999999995</v>
      </c>
      <c r="M9" s="29">
        <v>2.4380000000000002</v>
      </c>
      <c r="N9" s="26">
        <v>27.12</v>
      </c>
      <c r="O9" s="101">
        <v>0</v>
      </c>
      <c r="P9" s="38">
        <v>-0.2712</v>
      </c>
      <c r="Q9">
        <v>16.68</v>
      </c>
      <c r="R9" s="26">
        <v>30.98</v>
      </c>
      <c r="S9">
        <v>94.96</v>
      </c>
      <c r="T9" s="35">
        <v>47.845817399107062</v>
      </c>
      <c r="U9" s="35">
        <v>35.302000000000007</v>
      </c>
      <c r="V9" s="35">
        <v>142.80581739910707</v>
      </c>
      <c r="W9" s="94">
        <v>-8.783828017349038E-2</v>
      </c>
      <c r="X9" s="96">
        <v>0.40075917883384954</v>
      </c>
    </row>
    <row r="10" spans="1:39" s="34" customFormat="1">
      <c r="A10" s="153">
        <v>3</v>
      </c>
      <c r="B10" s="44">
        <v>113066</v>
      </c>
      <c r="C10" s="44" t="s">
        <v>53</v>
      </c>
      <c r="D10" s="34">
        <v>154.197</v>
      </c>
      <c r="E10" s="36">
        <v>9.06</v>
      </c>
      <c r="F10" s="34">
        <v>153.63999999999999</v>
      </c>
      <c r="G10" s="34">
        <v>5.0469999999999997</v>
      </c>
      <c r="H10" s="195">
        <v>0.36</v>
      </c>
      <c r="I10" s="86" t="s">
        <v>54</v>
      </c>
      <c r="J10" s="87" t="s">
        <v>75</v>
      </c>
      <c r="K10" s="34">
        <v>13.92</v>
      </c>
      <c r="L10" s="26">
        <v>5.8840000000000003</v>
      </c>
      <c r="M10" s="29">
        <v>2.4380000000000002</v>
      </c>
      <c r="N10" s="26">
        <v>54.53</v>
      </c>
      <c r="O10" s="102">
        <v>49.743582708358772</v>
      </c>
      <c r="P10" s="38">
        <v>-4.786417291641229E-2</v>
      </c>
      <c r="Q10">
        <v>6.34</v>
      </c>
      <c r="R10" s="26">
        <v>11.78</v>
      </c>
      <c r="S10">
        <v>97.41</v>
      </c>
      <c r="T10" s="35">
        <v>60.332001788275079</v>
      </c>
      <c r="U10" s="35">
        <v>56.787000000000006</v>
      </c>
      <c r="V10" s="35">
        <v>157.74200178827508</v>
      </c>
      <c r="W10" s="94">
        <v>-2.2473417023281206E-2</v>
      </c>
      <c r="X10" s="96">
        <v>-0.38251996777181313</v>
      </c>
    </row>
    <row r="11" spans="1:39" s="34" customFormat="1">
      <c r="A11" s="153">
        <v>4</v>
      </c>
      <c r="B11" s="44">
        <v>113648</v>
      </c>
      <c r="C11" s="44" t="s">
        <v>35</v>
      </c>
      <c r="D11" s="34">
        <v>135.22999999999999</v>
      </c>
      <c r="E11" s="36">
        <v>25.21</v>
      </c>
      <c r="F11" s="34">
        <v>133.76</v>
      </c>
      <c r="G11" s="34">
        <v>4.1559999999999997</v>
      </c>
      <c r="H11" s="195">
        <v>1.1000000000000001</v>
      </c>
      <c r="I11" s="86" t="s">
        <v>47</v>
      </c>
      <c r="J11" s="87" t="s">
        <v>78</v>
      </c>
      <c r="K11" s="34">
        <v>33.72</v>
      </c>
      <c r="L11" s="26">
        <v>9.5000000000000001E-2</v>
      </c>
      <c r="M11" s="29">
        <v>2.4380000000000002</v>
      </c>
      <c r="N11" s="26">
        <v>26.26</v>
      </c>
      <c r="O11" s="101">
        <v>0</v>
      </c>
      <c r="P11" s="38">
        <v>-0.2626</v>
      </c>
      <c r="Q11">
        <v>17.649999999999999</v>
      </c>
      <c r="R11" s="26">
        <v>32.770000000000003</v>
      </c>
      <c r="S11">
        <v>93.72</v>
      </c>
      <c r="T11" s="35">
        <v>50.743090821274173</v>
      </c>
      <c r="U11" s="35">
        <v>41.509999999999991</v>
      </c>
      <c r="V11" s="35">
        <v>144.46309082127416</v>
      </c>
      <c r="W11" s="94">
        <v>-6.3913147425989303E-2</v>
      </c>
      <c r="X11" s="96">
        <v>0.5787206586410123</v>
      </c>
    </row>
    <row r="12" spans="1:39" s="34" customFormat="1">
      <c r="A12" s="153">
        <v>16</v>
      </c>
      <c r="B12" s="44">
        <v>113665</v>
      </c>
      <c r="C12" s="44" t="s">
        <v>65</v>
      </c>
      <c r="D12" s="34">
        <v>97.903000000000006</v>
      </c>
      <c r="E12" s="36">
        <v>8.2100000000000009</v>
      </c>
      <c r="F12" s="34">
        <v>54.57</v>
      </c>
      <c r="G12" s="34">
        <v>4.7969999999999997</v>
      </c>
      <c r="H12" s="195">
        <v>79.41</v>
      </c>
      <c r="I12" s="86" t="s">
        <v>66</v>
      </c>
      <c r="J12" s="87" t="s">
        <v>90</v>
      </c>
      <c r="K12" s="34">
        <v>4.4800000000000004</v>
      </c>
      <c r="L12" s="26">
        <v>0.55800000000000005</v>
      </c>
      <c r="M12" s="29">
        <v>2.4380000000000002</v>
      </c>
      <c r="N12" s="26">
        <v>41.33</v>
      </c>
      <c r="O12" s="100">
        <v>26.247571332931518</v>
      </c>
      <c r="P12" s="38">
        <v>-0.15082428667068482</v>
      </c>
      <c r="Q12">
        <v>5.75</v>
      </c>
      <c r="R12" s="26">
        <v>10.67</v>
      </c>
      <c r="S12">
        <v>94.01</v>
      </c>
      <c r="T12" s="35">
        <v>10.447485787329008</v>
      </c>
      <c r="U12" s="35">
        <v>3.8930000000000007</v>
      </c>
      <c r="V12" s="35">
        <v>104.45748578732901</v>
      </c>
      <c r="W12" s="94">
        <v>-6.274788003871401E-2</v>
      </c>
      <c r="X12" s="96">
        <v>-0.95385132402431005</v>
      </c>
    </row>
    <row r="13" spans="1:39" s="34" customFormat="1">
      <c r="A13" s="153">
        <v>10</v>
      </c>
      <c r="B13" s="44">
        <v>118019</v>
      </c>
      <c r="C13" s="44" t="s">
        <v>42</v>
      </c>
      <c r="D13" s="34">
        <v>125.075</v>
      </c>
      <c r="E13" s="36">
        <v>34.450000000000003</v>
      </c>
      <c r="F13" s="34">
        <v>110.74</v>
      </c>
      <c r="G13" s="34">
        <v>4.5510000000000002</v>
      </c>
      <c r="H13" s="195">
        <v>12.94</v>
      </c>
      <c r="I13" s="86" t="s">
        <v>52</v>
      </c>
      <c r="J13" s="87" t="s">
        <v>80</v>
      </c>
      <c r="K13" s="34">
        <v>38.15</v>
      </c>
      <c r="L13" s="26">
        <v>0.65500000000000003</v>
      </c>
      <c r="M13" s="29">
        <v>2.4380000000000002</v>
      </c>
      <c r="N13" s="26">
        <v>30.57</v>
      </c>
      <c r="O13" s="100">
        <v>16.001182365655904</v>
      </c>
      <c r="P13" s="38">
        <v>-0.14568817634344097</v>
      </c>
      <c r="Q13">
        <v>24.12</v>
      </c>
      <c r="R13" s="26">
        <v>44.79</v>
      </c>
      <c r="S13">
        <v>100.88</v>
      </c>
      <c r="T13" s="35">
        <v>35.121735804637012</v>
      </c>
      <c r="U13" s="35">
        <v>24.195000000000007</v>
      </c>
      <c r="V13" s="35">
        <v>136.00173580463701</v>
      </c>
      <c r="W13" s="94">
        <v>-8.0342620187826008E-2</v>
      </c>
      <c r="X13" s="96">
        <v>-5.8657167299030741E-2</v>
      </c>
    </row>
    <row r="14" spans="1:39" s="34" customFormat="1">
      <c r="A14" s="153">
        <v>17</v>
      </c>
      <c r="B14" s="44">
        <v>118035</v>
      </c>
      <c r="C14" s="44" t="s">
        <v>63</v>
      </c>
      <c r="D14" s="34">
        <v>105.34</v>
      </c>
      <c r="E14" s="36">
        <v>62.79</v>
      </c>
      <c r="F14" s="34">
        <v>54.28</v>
      </c>
      <c r="G14" s="34">
        <v>5.2880000000000003</v>
      </c>
      <c r="H14" s="195">
        <v>94.07</v>
      </c>
      <c r="I14" s="86" t="s">
        <v>64</v>
      </c>
      <c r="J14" s="87" t="s">
        <v>89</v>
      </c>
      <c r="K14" s="34">
        <v>34.08</v>
      </c>
      <c r="L14" s="26">
        <v>0.80100000000000005</v>
      </c>
      <c r="M14" s="29">
        <v>2.4380000000000002</v>
      </c>
      <c r="N14" s="26">
        <v>41.6</v>
      </c>
      <c r="O14" s="100">
        <v>69.275602981448174</v>
      </c>
      <c r="P14" s="38">
        <v>0.27675602981448172</v>
      </c>
      <c r="Q14">
        <v>43.95</v>
      </c>
      <c r="R14" s="26">
        <v>81.63</v>
      </c>
      <c r="S14">
        <v>81.41</v>
      </c>
      <c r="T14" s="35">
        <v>11.173112536338026</v>
      </c>
      <c r="U14" s="35">
        <v>23.930000000000007</v>
      </c>
      <c r="V14" s="35">
        <v>92.583112536338021</v>
      </c>
      <c r="W14" s="94">
        <v>0.13778849202823062</v>
      </c>
      <c r="X14" s="96">
        <v>-0.81154325038709052</v>
      </c>
    </row>
    <row r="15" spans="1:39" s="34" customFormat="1">
      <c r="A15" s="153">
        <v>6</v>
      </c>
      <c r="B15" s="44">
        <v>123092</v>
      </c>
      <c r="C15" s="44" t="s">
        <v>37</v>
      </c>
      <c r="D15" s="34">
        <v>144.50299999999999</v>
      </c>
      <c r="E15" s="36">
        <v>5.04</v>
      </c>
      <c r="F15" s="34">
        <v>139.68</v>
      </c>
      <c r="G15" s="34">
        <v>2.819</v>
      </c>
      <c r="H15" s="195">
        <v>3.45</v>
      </c>
      <c r="I15" s="86" t="s">
        <v>16</v>
      </c>
      <c r="J15" s="87" t="s">
        <v>79</v>
      </c>
      <c r="K15" s="34">
        <v>7.04</v>
      </c>
      <c r="L15" s="26">
        <v>1.2070000000000001</v>
      </c>
      <c r="M15" s="29">
        <v>2.4380000000000002</v>
      </c>
      <c r="N15" s="26">
        <v>19.47</v>
      </c>
      <c r="O15" s="100">
        <v>25.195392981529235</v>
      </c>
      <c r="P15" s="38">
        <v>5.7253929815292356E-2</v>
      </c>
      <c r="Q15">
        <v>3.53</v>
      </c>
      <c r="R15" s="26">
        <v>6.55</v>
      </c>
      <c r="S15">
        <v>97.9</v>
      </c>
      <c r="T15" s="35">
        <v>44.010424219235119</v>
      </c>
      <c r="U15" s="35">
        <v>46.60299999999998</v>
      </c>
      <c r="V15" s="35">
        <v>141.91042421923513</v>
      </c>
      <c r="W15" s="94">
        <v>1.8269100349947776E-2</v>
      </c>
      <c r="X15" s="96">
        <v>1.0299146196142432</v>
      </c>
    </row>
    <row r="16" spans="1:39" s="34" customFormat="1">
      <c r="A16" s="153">
        <v>8</v>
      </c>
      <c r="B16" s="44">
        <v>123127</v>
      </c>
      <c r="C16" s="44" t="s">
        <v>39</v>
      </c>
      <c r="D16" s="34">
        <v>128</v>
      </c>
      <c r="E16" s="36">
        <v>24.4</v>
      </c>
      <c r="F16" s="34">
        <v>119.47</v>
      </c>
      <c r="G16" s="34">
        <v>3.6659999999999999</v>
      </c>
      <c r="H16" s="195">
        <v>7.14</v>
      </c>
      <c r="I16" s="86" t="s">
        <v>49</v>
      </c>
      <c r="J16" s="87" t="s">
        <v>84</v>
      </c>
      <c r="K16" s="34">
        <v>29.15</v>
      </c>
      <c r="L16" s="26">
        <v>0.91600000000000004</v>
      </c>
      <c r="M16" s="29">
        <v>2.4380000000000002</v>
      </c>
      <c r="N16" s="26">
        <v>33.700000000000003</v>
      </c>
      <c r="O16" s="100">
        <v>32.637792922019962</v>
      </c>
      <c r="P16" s="38">
        <v>-1.0622070779800409E-2</v>
      </c>
      <c r="Q16">
        <v>17.079999999999998</v>
      </c>
      <c r="R16" s="26">
        <v>31.72</v>
      </c>
      <c r="S16">
        <v>88.89</v>
      </c>
      <c r="T16" s="35">
        <v>39.851034212109553</v>
      </c>
      <c r="U16" s="35">
        <v>39.11</v>
      </c>
      <c r="V16" s="35">
        <v>128.74103421210955</v>
      </c>
      <c r="W16" s="94">
        <v>-5.7560063630422986E-3</v>
      </c>
      <c r="X16" s="96">
        <v>0.22207021701713472</v>
      </c>
    </row>
    <row r="17" spans="1:24" s="34" customFormat="1">
      <c r="A17" s="153">
        <v>13</v>
      </c>
      <c r="B17" s="44">
        <v>123236</v>
      </c>
      <c r="C17" s="44" t="s">
        <v>57</v>
      </c>
      <c r="D17" s="34">
        <v>116.148</v>
      </c>
      <c r="E17" s="36">
        <v>18.690000000000001</v>
      </c>
      <c r="F17" s="34">
        <v>83.9</v>
      </c>
      <c r="G17" s="34">
        <v>5.8159999999999998</v>
      </c>
      <c r="H17" s="195">
        <v>38.44</v>
      </c>
      <c r="I17" s="86" t="s">
        <v>58</v>
      </c>
      <c r="J17" s="87" t="s">
        <v>86</v>
      </c>
      <c r="K17" s="34">
        <v>15.68</v>
      </c>
      <c r="L17" s="26">
        <v>1.1990000000000001</v>
      </c>
      <c r="M17" s="29">
        <v>2.4380000000000002</v>
      </c>
      <c r="N17" s="26">
        <v>41.33</v>
      </c>
      <c r="O17" s="100">
        <v>43.758084530949596</v>
      </c>
      <c r="P17" s="38">
        <v>2.4280845309495973E-2</v>
      </c>
      <c r="Q17">
        <v>13.08</v>
      </c>
      <c r="R17" s="26">
        <v>24.3</v>
      </c>
      <c r="S17">
        <v>87.08</v>
      </c>
      <c r="T17" s="35">
        <v>27.389007663134695</v>
      </c>
      <c r="U17" s="35">
        <v>29.067999999999998</v>
      </c>
      <c r="V17" s="35">
        <v>114.46900766313469</v>
      </c>
      <c r="W17" s="94">
        <v>1.4667658706418951E-2</v>
      </c>
      <c r="X17" s="96">
        <v>-0.46339211233885819</v>
      </c>
    </row>
    <row r="18" spans="1:24" s="34" customFormat="1">
      <c r="A18" s="153">
        <v>7</v>
      </c>
      <c r="B18" s="44">
        <v>127014</v>
      </c>
      <c r="C18" s="44" t="s">
        <v>38</v>
      </c>
      <c r="D18" s="34">
        <v>148.74</v>
      </c>
      <c r="E18" s="36">
        <v>7.74</v>
      </c>
      <c r="F18" s="34">
        <v>138.88999999999999</v>
      </c>
      <c r="G18" s="34">
        <v>1.6519999999999999</v>
      </c>
      <c r="H18" s="195">
        <v>7.09</v>
      </c>
      <c r="I18" s="86" t="s">
        <v>48</v>
      </c>
      <c r="J18" s="87" t="s">
        <v>81</v>
      </c>
      <c r="K18" s="34">
        <v>10.75</v>
      </c>
      <c r="L18" s="26">
        <v>0.58599999999999997</v>
      </c>
      <c r="M18" s="29">
        <v>2.4380000000000002</v>
      </c>
      <c r="N18" s="26">
        <v>40.770000000000003</v>
      </c>
      <c r="O18" s="101">
        <v>0</v>
      </c>
      <c r="P18" s="38">
        <v>-0.40770000000000001</v>
      </c>
      <c r="Q18">
        <v>5.42</v>
      </c>
      <c r="R18" s="26">
        <v>10.06</v>
      </c>
      <c r="S18">
        <v>107.31</v>
      </c>
      <c r="T18" s="35">
        <v>50.152894785912366</v>
      </c>
      <c r="U18" s="35">
        <v>41.430000000000007</v>
      </c>
      <c r="V18" s="35">
        <v>157.46289478591237</v>
      </c>
      <c r="W18" s="94">
        <v>-5.5396509747722256E-2</v>
      </c>
      <c r="X18" s="96">
        <v>0.28865130957872964</v>
      </c>
    </row>
    <row r="19" spans="1:24" s="34" customFormat="1">
      <c r="A19" s="153">
        <v>11</v>
      </c>
      <c r="B19" s="44">
        <v>127032</v>
      </c>
      <c r="C19" s="44" t="s">
        <v>55</v>
      </c>
      <c r="D19" s="34">
        <v>118.5</v>
      </c>
      <c r="E19" s="36">
        <v>6.78</v>
      </c>
      <c r="F19" s="34">
        <v>103.54</v>
      </c>
      <c r="G19" s="34">
        <v>3.1179999999999999</v>
      </c>
      <c r="H19" s="195">
        <v>14.45</v>
      </c>
      <c r="I19" s="86" t="s">
        <v>56</v>
      </c>
      <c r="J19" s="87" t="s">
        <v>85</v>
      </c>
      <c r="K19" s="34">
        <v>7.02</v>
      </c>
      <c r="L19" s="26">
        <v>4.7009999999999996</v>
      </c>
      <c r="M19" s="29">
        <v>2.4380000000000002</v>
      </c>
      <c r="N19" s="26">
        <v>43.85</v>
      </c>
      <c r="O19" s="100">
        <v>22.059075620651242</v>
      </c>
      <c r="P19" s="38">
        <v>-0.21790924379348758</v>
      </c>
      <c r="Q19">
        <v>0</v>
      </c>
      <c r="R19" s="26">
        <v>8.81</v>
      </c>
      <c r="S19">
        <v>106.01</v>
      </c>
      <c r="T19" s="35">
        <v>25.838105562264083</v>
      </c>
      <c r="U19" s="35">
        <v>12.489999999999995</v>
      </c>
      <c r="V19" s="35">
        <v>131.8481055622641</v>
      </c>
      <c r="W19" s="94">
        <v>-0.10123850854998118</v>
      </c>
      <c r="X19" s="96">
        <v>-0.50872432174041293</v>
      </c>
    </row>
    <row r="20" spans="1:24" s="34" customFormat="1">
      <c r="A20" s="153">
        <v>2</v>
      </c>
      <c r="B20" s="44">
        <v>127037</v>
      </c>
      <c r="C20" s="44" t="s">
        <v>34</v>
      </c>
      <c r="D20" s="34">
        <v>161.67599999999999</v>
      </c>
      <c r="E20" s="36">
        <v>10.61</v>
      </c>
      <c r="F20" s="34">
        <v>161.26</v>
      </c>
      <c r="G20" s="34">
        <v>3.2709999999999999</v>
      </c>
      <c r="H20" s="195">
        <v>0.26</v>
      </c>
      <c r="I20" s="86" t="s">
        <v>18</v>
      </c>
      <c r="J20" s="87" t="s">
        <v>76</v>
      </c>
      <c r="K20" s="34">
        <v>17.11</v>
      </c>
      <c r="L20" s="26">
        <v>0.46800000000000003</v>
      </c>
      <c r="M20" s="29">
        <v>2.4380000000000002</v>
      </c>
      <c r="N20" s="26">
        <v>41.56</v>
      </c>
      <c r="O20" s="101">
        <v>0</v>
      </c>
      <c r="P20" s="38">
        <v>-0.41560000000000002</v>
      </c>
      <c r="Q20">
        <v>7.43</v>
      </c>
      <c r="R20" s="26">
        <v>13.79</v>
      </c>
      <c r="S20">
        <v>104.53</v>
      </c>
      <c r="T20" s="35">
        <v>78.523086579346852</v>
      </c>
      <c r="U20" s="35">
        <v>57.145999999999987</v>
      </c>
      <c r="V20" s="35">
        <v>183.05308657934685</v>
      </c>
      <c r="W20" s="94">
        <v>-0.11678080374831967</v>
      </c>
      <c r="X20" s="96">
        <v>0.28669384477546583</v>
      </c>
    </row>
    <row r="21" spans="1:24" s="34" customFormat="1">
      <c r="A21" s="153">
        <v>18</v>
      </c>
      <c r="B21" s="44">
        <v>127089</v>
      </c>
      <c r="C21" s="44" t="s">
        <v>67</v>
      </c>
      <c r="D21" s="34">
        <v>102.7</v>
      </c>
      <c r="E21" s="36">
        <v>38.74</v>
      </c>
      <c r="F21" s="34">
        <v>46.64</v>
      </c>
      <c r="G21" s="34">
        <v>5.3860000000000001</v>
      </c>
      <c r="H21" s="195">
        <v>120.2</v>
      </c>
      <c r="I21" s="86" t="s">
        <v>68</v>
      </c>
      <c r="J21" s="87" t="s">
        <v>91</v>
      </c>
      <c r="K21" s="34">
        <v>18.07</v>
      </c>
      <c r="L21" s="26">
        <v>0.94599999999999995</v>
      </c>
      <c r="M21" s="29">
        <v>2.4380000000000002</v>
      </c>
      <c r="N21" s="26">
        <v>39.03</v>
      </c>
      <c r="O21" s="100">
        <v>36.931930850267413</v>
      </c>
      <c r="P21" s="38">
        <v>-2.0980691497325878E-2</v>
      </c>
      <c r="Q21">
        <v>27.12</v>
      </c>
      <c r="R21" s="26">
        <v>50.36</v>
      </c>
      <c r="S21">
        <v>96.57</v>
      </c>
      <c r="T21" s="35">
        <v>6.9443513025661918</v>
      </c>
      <c r="U21" s="35">
        <v>6.1300000000000097</v>
      </c>
      <c r="V21" s="35">
        <v>103.51435130256618</v>
      </c>
      <c r="W21" s="94">
        <v>-7.8670376843291701E-3</v>
      </c>
      <c r="X21" s="96">
        <v>-1.1676833898064227</v>
      </c>
    </row>
    <row r="22" spans="1:24" s="34" customFormat="1">
      <c r="A22" s="153">
        <v>15</v>
      </c>
      <c r="B22" s="44">
        <v>127091</v>
      </c>
      <c r="C22" s="44" t="s">
        <v>61</v>
      </c>
      <c r="D22" s="34">
        <v>113.511</v>
      </c>
      <c r="E22" s="36">
        <v>34.67</v>
      </c>
      <c r="F22" s="34">
        <v>69.14</v>
      </c>
      <c r="G22" s="34">
        <v>5.4850000000000003</v>
      </c>
      <c r="H22" s="195">
        <v>64.180000000000007</v>
      </c>
      <c r="I22" s="86" t="s">
        <v>62</v>
      </c>
      <c r="J22" s="87" t="s">
        <v>88</v>
      </c>
      <c r="K22" s="34">
        <v>23.97</v>
      </c>
      <c r="L22" s="26">
        <v>0.20899999999999999</v>
      </c>
      <c r="M22" s="29">
        <v>2.4380000000000002</v>
      </c>
      <c r="N22" s="26">
        <v>45.58</v>
      </c>
      <c r="O22" s="100">
        <v>33.89298266339302</v>
      </c>
      <c r="P22" s="38">
        <v>-0.11687017336606978</v>
      </c>
      <c r="Q22">
        <v>24.27</v>
      </c>
      <c r="R22" s="26">
        <v>45.07</v>
      </c>
      <c r="S22">
        <v>97.95</v>
      </c>
      <c r="T22" s="35">
        <v>22.865638991991325</v>
      </c>
      <c r="U22" s="35">
        <v>15.560999999999993</v>
      </c>
      <c r="V22" s="35">
        <v>120.81563899199134</v>
      </c>
      <c r="W22" s="94">
        <v>-6.0461038429598934E-2</v>
      </c>
      <c r="X22" s="96">
        <v>-0.74551478443698205</v>
      </c>
    </row>
    <row r="23" spans="1:24" s="34" customFormat="1">
      <c r="A23" s="153">
        <v>14</v>
      </c>
      <c r="B23" s="44">
        <v>127101</v>
      </c>
      <c r="C23" s="44" t="s">
        <v>59</v>
      </c>
      <c r="D23" s="34">
        <v>106.968</v>
      </c>
      <c r="E23" s="36">
        <v>50.65</v>
      </c>
      <c r="F23" s="34">
        <v>67.959999999999994</v>
      </c>
      <c r="G23" s="34">
        <v>5.8159999999999998</v>
      </c>
      <c r="H23" s="195">
        <v>57.4</v>
      </c>
      <c r="I23" s="86" t="s">
        <v>60</v>
      </c>
      <c r="J23" s="87" t="s">
        <v>87</v>
      </c>
      <c r="K23" s="34">
        <v>34.42</v>
      </c>
      <c r="L23" s="26">
        <v>0.86599999999999999</v>
      </c>
      <c r="M23" s="29">
        <v>2.4380000000000002</v>
      </c>
      <c r="N23" s="26">
        <v>51.11</v>
      </c>
      <c r="O23" s="100">
        <v>45.896516868412505</v>
      </c>
      <c r="P23" s="38">
        <v>-5.2134831315874951E-2</v>
      </c>
      <c r="Q23">
        <v>35.46</v>
      </c>
      <c r="R23" s="26">
        <v>65.849999999999994</v>
      </c>
      <c r="S23">
        <v>85.25</v>
      </c>
      <c r="T23" s="35">
        <v>24.783958218099908</v>
      </c>
      <c r="U23" s="35">
        <v>21.718000000000004</v>
      </c>
      <c r="V23" s="35">
        <v>110.03395821809991</v>
      </c>
      <c r="W23" s="94">
        <v>-2.7863745590455125E-2</v>
      </c>
      <c r="X23" s="96">
        <v>-0.72601558356102092</v>
      </c>
    </row>
    <row r="24" spans="1:24" s="34" customFormat="1">
      <c r="A24" s="153">
        <v>12</v>
      </c>
      <c r="B24" s="44">
        <v>128081</v>
      </c>
      <c r="C24" s="44" t="s">
        <v>95</v>
      </c>
      <c r="D24" s="34">
        <v>112.669</v>
      </c>
      <c r="E24" s="36">
        <v>9.5399999999999991</v>
      </c>
      <c r="F24" s="34">
        <v>96.65</v>
      </c>
      <c r="G24" s="34">
        <v>1.7290000000000001</v>
      </c>
      <c r="H24" s="195">
        <v>16.57</v>
      </c>
      <c r="I24" s="86" t="s">
        <v>96</v>
      </c>
      <c r="J24" s="87" t="s">
        <v>97</v>
      </c>
      <c r="K24" s="34">
        <v>9.2200000000000006</v>
      </c>
      <c r="L24" s="26">
        <v>0.86799999999999999</v>
      </c>
      <c r="M24" s="29">
        <v>2.4380000000000002</v>
      </c>
      <c r="N24" s="26">
        <v>34.35</v>
      </c>
      <c r="O24" s="100">
        <v>12.096950282573701</v>
      </c>
      <c r="P24" s="38">
        <v>-0.22253049717426301</v>
      </c>
      <c r="Q24">
        <v>6.68</v>
      </c>
      <c r="R24" s="26">
        <v>12.4</v>
      </c>
      <c r="S24">
        <v>106.94</v>
      </c>
      <c r="T24" s="35">
        <v>16.739025351870282</v>
      </c>
      <c r="U24" s="35">
        <v>5.7289999999999992</v>
      </c>
      <c r="V24" s="35">
        <v>123.67902535187028</v>
      </c>
      <c r="W24" s="94">
        <v>-8.9020958246933568E-2</v>
      </c>
      <c r="X24" s="96">
        <v>-0.38973035864077571</v>
      </c>
    </row>
    <row r="25" spans="1:24" s="34" customFormat="1">
      <c r="A25" s="153">
        <v>5</v>
      </c>
      <c r="B25" s="44">
        <v>128106</v>
      </c>
      <c r="C25" s="44" t="s">
        <v>36</v>
      </c>
      <c r="D25" s="34">
        <v>210.1</v>
      </c>
      <c r="E25" s="36">
        <v>8.82</v>
      </c>
      <c r="F25" s="34">
        <v>205.9</v>
      </c>
      <c r="G25" s="34">
        <v>2.1120000000000001</v>
      </c>
      <c r="H25" s="195">
        <v>2.04</v>
      </c>
      <c r="I25" s="86" t="s">
        <v>17</v>
      </c>
      <c r="J25" s="87" t="s">
        <v>77</v>
      </c>
      <c r="K25" s="34">
        <v>18.16</v>
      </c>
      <c r="L25" s="26">
        <v>0.14899999999999999</v>
      </c>
      <c r="M25" s="29">
        <v>2.4380000000000002</v>
      </c>
      <c r="N25" s="26">
        <v>27.02</v>
      </c>
      <c r="O25" s="101">
        <v>0</v>
      </c>
      <c r="P25" s="38">
        <v>-0.2702</v>
      </c>
      <c r="Q25">
        <v>6.17</v>
      </c>
      <c r="R25" s="26">
        <v>11.47</v>
      </c>
      <c r="S25">
        <v>105.35</v>
      </c>
      <c r="T25" s="35">
        <v>110.77452216575428</v>
      </c>
      <c r="U25" s="35">
        <v>104.75</v>
      </c>
      <c r="V25" s="35">
        <v>216.12452216575429</v>
      </c>
      <c r="W25" s="94">
        <v>-2.787523648581558E-2</v>
      </c>
      <c r="X25" s="96">
        <v>1.6332872417131448</v>
      </c>
    </row>
  </sheetData>
  <autoFilter ref="A7:X10" xr:uid="{00000000-0009-0000-0000-000001000000}">
    <sortState xmlns:xlrd2="http://schemas.microsoft.com/office/spreadsheetml/2017/richdata2" ref="A8:X25">
      <sortCondition ref="B7:B10"/>
    </sortState>
  </autoFilter>
  <mergeCells count="2">
    <mergeCell ref="M2:N2"/>
    <mergeCell ref="L1:N1"/>
  </mergeCells>
  <hyperlinks>
    <hyperlink ref="L1" r:id="rId1" display="https://tradingeconomics.com/china/government-bond-yield" xr:uid="{D5D82921-D7BC-46AA-934D-5218BAEEA8CD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模块1.refresh_underlying_values">
                <anchor moveWithCells="1" sizeWithCells="1">
                  <from>
                    <xdr:col>6</xdr:col>
                    <xdr:colOff>514350</xdr:colOff>
                    <xdr:row>1</xdr:row>
                    <xdr:rowOff>25400</xdr:rowOff>
                  </from>
                  <to>
                    <xdr:col>8</xdr:col>
                    <xdr:colOff>127000</xdr:colOff>
                    <xdr:row>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X35"/>
  <sheetViews>
    <sheetView zoomScale="140" zoomScaleNormal="140" workbookViewId="0">
      <pane ySplit="2" topLeftCell="A3" activePane="bottomLeft" state="frozen"/>
      <selection pane="bottomLeft" activeCell="Q31" sqref="Q31"/>
    </sheetView>
  </sheetViews>
  <sheetFormatPr defaultColWidth="8.58203125" defaultRowHeight="15.5"/>
  <cols>
    <col min="1" max="3" width="8.58203125" style="13"/>
    <col min="4" max="5" width="8.58203125" style="16"/>
    <col min="6" max="6" width="8.58203125" style="13"/>
    <col min="7" max="7" width="10.1640625" style="13" customWidth="1"/>
    <col min="8" max="9" width="8.58203125" style="13"/>
    <col min="10" max="10" width="3.58203125" style="148" customWidth="1"/>
    <col min="11" max="13" width="8.58203125" style="13"/>
    <col min="14" max="14" width="8.58203125" style="129"/>
    <col min="15" max="15" width="11.08203125" style="130" customWidth="1"/>
    <col min="16" max="17" width="8.58203125" style="13"/>
    <col min="18" max="18" width="3.58203125" style="148" customWidth="1"/>
    <col min="19" max="21" width="8.58203125" style="13"/>
    <col min="22" max="22" width="8.58203125" style="129"/>
    <col min="23" max="23" width="10.9140625" style="130" customWidth="1"/>
    <col min="24" max="16384" width="8.58203125" style="13"/>
  </cols>
  <sheetData>
    <row r="1" spans="1:24">
      <c r="A1" s="182" t="s">
        <v>121</v>
      </c>
      <c r="B1" s="183"/>
      <c r="C1" s="183"/>
      <c r="D1" s="186" t="s">
        <v>127</v>
      </c>
      <c r="E1" s="186"/>
      <c r="F1" s="186"/>
      <c r="G1" s="186"/>
      <c r="H1" s="187"/>
      <c r="J1" s="182" t="s">
        <v>132</v>
      </c>
      <c r="K1" s="183"/>
      <c r="L1" s="183"/>
      <c r="M1" s="183"/>
      <c r="N1" s="183"/>
      <c r="O1" s="183"/>
      <c r="P1" s="184"/>
      <c r="Q1" s="128"/>
      <c r="R1" s="182" t="s">
        <v>133</v>
      </c>
      <c r="S1" s="183"/>
      <c r="T1" s="183"/>
      <c r="U1" s="183"/>
      <c r="V1" s="183"/>
      <c r="W1" s="183"/>
      <c r="X1" s="184"/>
    </row>
    <row r="2" spans="1:24" s="126" customFormat="1" ht="28.25" customHeight="1">
      <c r="A2" s="143" t="s">
        <v>21</v>
      </c>
      <c r="B2" s="126" t="s">
        <v>22</v>
      </c>
      <c r="C2" s="126" t="s">
        <v>30</v>
      </c>
      <c r="D2" s="127" t="s">
        <v>126</v>
      </c>
      <c r="E2" s="127" t="s">
        <v>31</v>
      </c>
      <c r="F2" s="127" t="s">
        <v>131</v>
      </c>
      <c r="G2" s="127" t="s">
        <v>128</v>
      </c>
      <c r="H2" s="133" t="s">
        <v>129</v>
      </c>
      <c r="J2" s="149"/>
      <c r="K2" s="126" t="s">
        <v>21</v>
      </c>
      <c r="L2" s="126" t="s">
        <v>22</v>
      </c>
      <c r="M2" s="126" t="s">
        <v>30</v>
      </c>
      <c r="N2" s="131" t="s">
        <v>15</v>
      </c>
      <c r="O2" s="132" t="s">
        <v>44</v>
      </c>
      <c r="P2" s="133" t="s">
        <v>130</v>
      </c>
      <c r="R2" s="149"/>
      <c r="S2" s="126" t="s">
        <v>21</v>
      </c>
      <c r="T2" s="126" t="s">
        <v>22</v>
      </c>
      <c r="U2" s="126" t="s">
        <v>30</v>
      </c>
      <c r="V2" s="131" t="s">
        <v>31</v>
      </c>
      <c r="W2" s="132" t="s">
        <v>44</v>
      </c>
      <c r="X2" s="133" t="s">
        <v>130</v>
      </c>
    </row>
    <row r="3" spans="1:24">
      <c r="A3" s="144">
        <v>123236</v>
      </c>
      <c r="B3" s="42" t="s">
        <v>57</v>
      </c>
      <c r="C3" s="13">
        <f>VLOOKUP(A3,RealTimeData_ConvertibleBond!$B$7:$D$25,3,FALSE)</f>
        <v>116.148</v>
      </c>
      <c r="D3" s="15">
        <f>MATCH(A3,$K$1:$K$17,0)-2</f>
        <v>8</v>
      </c>
      <c r="E3" s="15" t="e">
        <f>MATCH(A3,$S$1:$S$17,0)-2</f>
        <v>#N/A</v>
      </c>
      <c r="F3" s="15" t="e">
        <f>MATCH(A3,$B$20:$B$35,0)-1</f>
        <v>#N/A</v>
      </c>
      <c r="G3" s="15" t="e">
        <f>MATCH(A3,$K$20:$K$35,0)-1</f>
        <v>#N/A</v>
      </c>
      <c r="H3" s="15" t="e">
        <f>MATCH(A3,$S$20:$S$35,0)-20</f>
        <v>#N/A</v>
      </c>
      <c r="J3" s="150">
        <v>1</v>
      </c>
      <c r="K3" s="42">
        <v>111007</v>
      </c>
      <c r="L3" s="42" t="s">
        <v>40</v>
      </c>
      <c r="M3" s="42">
        <v>130.262</v>
      </c>
      <c r="N3" s="137">
        <v>-0.12</v>
      </c>
      <c r="O3" s="135">
        <v>791.17700000000002</v>
      </c>
      <c r="P3" s="136" t="str">
        <f t="shared" ref="P3:P10" si="0">IF(ISNA(MATCH(K3,$A$3:$A$89,0)),"No","Yes")</f>
        <v>No</v>
      </c>
      <c r="R3" s="150">
        <v>1</v>
      </c>
      <c r="S3" s="13">
        <v>123127</v>
      </c>
      <c r="T3" s="13" t="s">
        <v>39</v>
      </c>
      <c r="U3" s="13">
        <v>128</v>
      </c>
      <c r="V3" s="134">
        <v>135.13999999999999</v>
      </c>
      <c r="W3" s="135">
        <v>399.67689999999999</v>
      </c>
      <c r="X3" s="136" t="str">
        <f>IF(ISNA(MATCH(S3,$A$3:$A$89,0)),"No","Yes")</f>
        <v>No</v>
      </c>
    </row>
    <row r="4" spans="1:24">
      <c r="A4" s="144">
        <v>127101</v>
      </c>
      <c r="B4" s="42" t="s">
        <v>59</v>
      </c>
      <c r="C4" s="13">
        <f>VLOOKUP(A4,RealTimeData_ConvertibleBond!$B$7:$D$25,3,FALSE)</f>
        <v>106.968</v>
      </c>
      <c r="D4" s="15" t="e">
        <f t="shared" ref="D4:D10" si="1">MATCH(A4,$K$1:$K$17,0)-2</f>
        <v>#N/A</v>
      </c>
      <c r="E4" s="15" t="e">
        <f t="shared" ref="E4:E10" si="2">MATCH(A4,$S$1:$S$17,0)-2</f>
        <v>#N/A</v>
      </c>
      <c r="F4" s="15" t="e">
        <f t="shared" ref="F4:F10" si="3">MATCH(A4,$B$20:$B$35,0)-1</f>
        <v>#N/A</v>
      </c>
      <c r="G4" s="15" t="e">
        <f t="shared" ref="G4:G10" si="4">MATCH(A4,$K$20:$K$35,0)-1</f>
        <v>#N/A</v>
      </c>
      <c r="H4" s="15" t="e">
        <f t="shared" ref="H4:H10" si="5">MATCH(A4,$S$20:$S$35,0)-20</f>
        <v>#N/A</v>
      </c>
      <c r="J4" s="150">
        <v>2</v>
      </c>
      <c r="K4" s="42">
        <v>127037</v>
      </c>
      <c r="L4" s="42" t="s">
        <v>34</v>
      </c>
      <c r="M4" s="42">
        <v>161.67599999999999</v>
      </c>
      <c r="N4" s="137">
        <v>0.26</v>
      </c>
      <c r="O4" s="135">
        <v>618.81590000000006</v>
      </c>
      <c r="P4" s="136" t="str">
        <f t="shared" si="0"/>
        <v>No</v>
      </c>
      <c r="R4" s="150">
        <v>2</v>
      </c>
      <c r="S4" s="13">
        <v>123092</v>
      </c>
      <c r="T4" s="13" t="s">
        <v>37</v>
      </c>
      <c r="U4" s="13">
        <v>144.50299999999999</v>
      </c>
      <c r="V4" s="134">
        <v>147.95299999999997</v>
      </c>
      <c r="W4" s="135">
        <v>398.81670000000003</v>
      </c>
      <c r="X4" s="136" t="str">
        <f>IF(ISNA(MATCH(S4,$A$3:$A$89,0)),"No","Yes")</f>
        <v>No</v>
      </c>
    </row>
    <row r="5" spans="1:24">
      <c r="A5" s="144">
        <v>127091</v>
      </c>
      <c r="B5" s="42" t="s">
        <v>61</v>
      </c>
      <c r="C5" s="13">
        <f>VLOOKUP(A5,RealTimeData_ConvertibleBond!$B$7:$D$25,3,FALSE)</f>
        <v>113.511</v>
      </c>
      <c r="D5" s="15" t="e">
        <f t="shared" si="1"/>
        <v>#N/A</v>
      </c>
      <c r="E5" s="15" t="e">
        <f t="shared" si="2"/>
        <v>#N/A</v>
      </c>
      <c r="F5" s="15">
        <f t="shared" si="3"/>
        <v>5</v>
      </c>
      <c r="G5" s="15">
        <f t="shared" si="4"/>
        <v>7</v>
      </c>
      <c r="H5" s="15" t="e">
        <f t="shared" si="5"/>
        <v>#N/A</v>
      </c>
      <c r="J5" s="150">
        <v>3</v>
      </c>
      <c r="K5" s="42">
        <v>128106</v>
      </c>
      <c r="L5" s="42" t="s">
        <v>36</v>
      </c>
      <c r="M5" s="42">
        <v>210.1</v>
      </c>
      <c r="N5" s="137">
        <v>2.04</v>
      </c>
      <c r="O5" s="135">
        <v>252.55850000000001</v>
      </c>
      <c r="P5" s="136" t="str">
        <f t="shared" si="0"/>
        <v>No</v>
      </c>
      <c r="R5" s="150">
        <v>3</v>
      </c>
      <c r="S5" s="13">
        <v>110055</v>
      </c>
      <c r="T5" s="13" t="s">
        <v>41</v>
      </c>
      <c r="U5" s="13">
        <v>141.22800000000001</v>
      </c>
      <c r="V5" s="134">
        <v>152.53800000000001</v>
      </c>
      <c r="W5" s="135">
        <v>243.215</v>
      </c>
      <c r="X5" s="136" t="str">
        <f>IF(ISNA(MATCH(S5,$A$3:$A$89,0)),"No","Yes")</f>
        <v>No</v>
      </c>
    </row>
    <row r="6" spans="1:24">
      <c r="A6" s="144">
        <v>118035</v>
      </c>
      <c r="B6" s="42" t="s">
        <v>63</v>
      </c>
      <c r="C6" s="13">
        <f>VLOOKUP(A6,RealTimeData_ConvertibleBond!$B$7:$D$25,3,FALSE)</f>
        <v>105.34</v>
      </c>
      <c r="D6" s="15" t="e">
        <f t="shared" si="1"/>
        <v>#N/A</v>
      </c>
      <c r="E6" s="15" t="e">
        <f t="shared" si="2"/>
        <v>#N/A</v>
      </c>
      <c r="F6" s="15" t="e">
        <f t="shared" si="3"/>
        <v>#N/A</v>
      </c>
      <c r="G6" s="15" t="e">
        <f t="shared" si="4"/>
        <v>#N/A</v>
      </c>
      <c r="H6" s="15" t="e">
        <f t="shared" si="5"/>
        <v>#N/A</v>
      </c>
      <c r="J6" s="150">
        <v>4</v>
      </c>
      <c r="K6" s="42">
        <v>123092</v>
      </c>
      <c r="L6" s="42" t="s">
        <v>37</v>
      </c>
      <c r="M6" s="42">
        <v>144.50299999999999</v>
      </c>
      <c r="N6" s="137">
        <v>3.45</v>
      </c>
      <c r="O6" s="135">
        <v>398.81670000000003</v>
      </c>
      <c r="P6" s="136" t="str">
        <f t="shared" si="0"/>
        <v>No</v>
      </c>
      <c r="R6" s="150"/>
      <c r="V6" s="137"/>
      <c r="W6" s="135"/>
      <c r="X6" s="136"/>
    </row>
    <row r="7" spans="1:24">
      <c r="A7" s="144">
        <v>113665</v>
      </c>
      <c r="B7" s="42" t="s">
        <v>65</v>
      </c>
      <c r="C7" s="13">
        <f>VLOOKUP(A7,RealTimeData_ConvertibleBond!$B$7:$D$25,3,FALSE)</f>
        <v>97.903000000000006</v>
      </c>
      <c r="D7" s="15" t="e">
        <f t="shared" si="1"/>
        <v>#N/A</v>
      </c>
      <c r="E7" s="15" t="e">
        <f t="shared" si="2"/>
        <v>#N/A</v>
      </c>
      <c r="F7" s="15">
        <f t="shared" si="3"/>
        <v>3</v>
      </c>
      <c r="G7" s="15">
        <f t="shared" si="4"/>
        <v>6</v>
      </c>
      <c r="H7" s="15" t="e">
        <f t="shared" si="5"/>
        <v>#N/A</v>
      </c>
      <c r="J7" s="150">
        <v>5</v>
      </c>
      <c r="K7" s="42">
        <v>127014</v>
      </c>
      <c r="L7" s="42" t="s">
        <v>38</v>
      </c>
      <c r="M7" s="42">
        <v>148.74</v>
      </c>
      <c r="N7" s="137">
        <v>7.09</v>
      </c>
      <c r="O7" s="135">
        <v>532.12819999999999</v>
      </c>
      <c r="P7" s="136" t="str">
        <f t="shared" si="0"/>
        <v>No</v>
      </c>
      <c r="R7" s="150"/>
      <c r="V7" s="137"/>
      <c r="W7" s="135"/>
      <c r="X7" s="136"/>
    </row>
    <row r="8" spans="1:24">
      <c r="A8" s="144">
        <v>127089</v>
      </c>
      <c r="B8" s="42" t="s">
        <v>67</v>
      </c>
      <c r="C8" s="13">
        <f>VLOOKUP(A8,RealTimeData_ConvertibleBond!$B$7:$D$25,3,FALSE)</f>
        <v>102.7</v>
      </c>
      <c r="D8" s="15" t="e">
        <f t="shared" si="1"/>
        <v>#N/A</v>
      </c>
      <c r="E8" s="15" t="e">
        <f t="shared" si="2"/>
        <v>#N/A</v>
      </c>
      <c r="F8" s="15" t="e">
        <f t="shared" si="3"/>
        <v>#N/A</v>
      </c>
      <c r="G8" s="15" t="e">
        <f t="shared" si="4"/>
        <v>#N/A</v>
      </c>
      <c r="H8" s="15" t="e">
        <f t="shared" si="5"/>
        <v>#N/A</v>
      </c>
      <c r="J8" s="150">
        <v>6</v>
      </c>
      <c r="K8" s="42">
        <v>123127</v>
      </c>
      <c r="L8" s="42" t="s">
        <v>39</v>
      </c>
      <c r="M8" s="42">
        <v>128</v>
      </c>
      <c r="N8" s="137">
        <v>7.14</v>
      </c>
      <c r="O8" s="135">
        <v>399.67689999999999</v>
      </c>
      <c r="P8" s="136" t="str">
        <f t="shared" si="0"/>
        <v>No</v>
      </c>
      <c r="R8" s="150"/>
      <c r="V8" s="137"/>
      <c r="W8" s="135"/>
      <c r="X8" s="136"/>
    </row>
    <row r="9" spans="1:24">
      <c r="A9" s="144">
        <v>127032</v>
      </c>
      <c r="B9" s="42" t="s">
        <v>55</v>
      </c>
      <c r="C9" s="13">
        <f>VLOOKUP(A9,RealTimeData_ConvertibleBond!$B$7:$D$21,3,FALSE)</f>
        <v>118.5</v>
      </c>
      <c r="D9" s="15" t="e">
        <f t="shared" si="1"/>
        <v>#N/A</v>
      </c>
      <c r="E9" s="15" t="e">
        <f t="shared" si="2"/>
        <v>#N/A</v>
      </c>
      <c r="F9" s="15">
        <f t="shared" si="3"/>
        <v>2</v>
      </c>
      <c r="G9" s="15">
        <f t="shared" si="4"/>
        <v>1</v>
      </c>
      <c r="H9" s="15" t="e">
        <f t="shared" si="5"/>
        <v>#N/A</v>
      </c>
      <c r="J9" s="150">
        <v>7</v>
      </c>
      <c r="K9" s="42">
        <v>110055</v>
      </c>
      <c r="L9" s="42" t="s">
        <v>41</v>
      </c>
      <c r="M9" s="42">
        <v>141.22800000000001</v>
      </c>
      <c r="N9" s="137">
        <v>11.31</v>
      </c>
      <c r="O9" s="135">
        <v>243.215</v>
      </c>
      <c r="P9" s="136" t="str">
        <f t="shared" si="0"/>
        <v>No</v>
      </c>
      <c r="R9" s="150"/>
      <c r="V9" s="137"/>
      <c r="W9" s="135"/>
      <c r="X9" s="136"/>
    </row>
    <row r="10" spans="1:24">
      <c r="A10" s="144">
        <v>113066</v>
      </c>
      <c r="B10" s="42" t="s">
        <v>53</v>
      </c>
      <c r="C10" s="13">
        <f>VLOOKUP(A10,RealTimeData_ConvertibleBond!$B$7:$D$21,3,FALSE)</f>
        <v>154.197</v>
      </c>
      <c r="D10" s="15" t="e">
        <f t="shared" si="1"/>
        <v>#N/A</v>
      </c>
      <c r="E10" s="15" t="e">
        <f t="shared" si="2"/>
        <v>#N/A</v>
      </c>
      <c r="F10" s="15" t="e">
        <f t="shared" si="3"/>
        <v>#N/A</v>
      </c>
      <c r="G10" s="15" t="e">
        <f t="shared" si="4"/>
        <v>#N/A</v>
      </c>
      <c r="H10" s="15" t="e">
        <f t="shared" si="5"/>
        <v>#N/A</v>
      </c>
      <c r="J10" s="150">
        <v>8</v>
      </c>
      <c r="K10" s="42">
        <v>123236</v>
      </c>
      <c r="L10" s="42" t="s">
        <v>57</v>
      </c>
      <c r="M10" s="42">
        <v>116.148</v>
      </c>
      <c r="N10" s="137">
        <v>38.44</v>
      </c>
      <c r="O10" s="135">
        <v>750</v>
      </c>
      <c r="P10" s="136" t="str">
        <f t="shared" si="0"/>
        <v>Yes</v>
      </c>
      <c r="R10" s="150"/>
      <c r="V10" s="137"/>
      <c r="W10" s="135"/>
      <c r="X10" s="136"/>
    </row>
    <row r="11" spans="1:24">
      <c r="A11" s="145"/>
      <c r="B11" s="42"/>
      <c r="D11" s="15"/>
      <c r="E11" s="15"/>
      <c r="F11" s="15"/>
      <c r="G11" s="15"/>
      <c r="H11" s="15"/>
      <c r="J11" s="150"/>
      <c r="K11" s="42"/>
      <c r="L11" s="42"/>
      <c r="M11" s="42"/>
      <c r="N11" s="137"/>
      <c r="O11" s="135"/>
      <c r="P11" s="136"/>
      <c r="R11" s="150"/>
      <c r="V11" s="137"/>
      <c r="W11" s="135"/>
      <c r="X11" s="136"/>
    </row>
    <row r="12" spans="1:24">
      <c r="A12" s="145"/>
      <c r="B12" s="42"/>
      <c r="D12" s="15"/>
      <c r="E12" s="15"/>
      <c r="F12" s="15"/>
      <c r="G12" s="15"/>
      <c r="H12" s="15"/>
      <c r="J12" s="150"/>
      <c r="K12" s="42"/>
      <c r="L12" s="42"/>
      <c r="M12" s="42"/>
      <c r="N12" s="137"/>
      <c r="O12" s="135"/>
      <c r="P12" s="136"/>
      <c r="R12" s="150"/>
      <c r="V12" s="137"/>
      <c r="W12" s="135"/>
      <c r="X12" s="136"/>
    </row>
    <row r="13" spans="1:24">
      <c r="A13" s="185" t="s">
        <v>134</v>
      </c>
      <c r="B13" s="185"/>
      <c r="D13" s="15"/>
      <c r="E13" s="15"/>
      <c r="F13" s="15"/>
      <c r="G13" s="15"/>
      <c r="H13" s="15"/>
      <c r="J13" s="150"/>
      <c r="K13" s="42"/>
      <c r="L13" s="42"/>
      <c r="M13" s="42"/>
      <c r="N13" s="137"/>
      <c r="O13" s="135"/>
      <c r="P13" s="136"/>
      <c r="R13" s="150"/>
      <c r="V13" s="137"/>
      <c r="W13" s="135"/>
      <c r="X13" s="136"/>
    </row>
    <row r="14" spans="1:24">
      <c r="A14" s="185"/>
      <c r="B14" s="185"/>
      <c r="D14" s="15"/>
      <c r="E14" s="15"/>
      <c r="F14" s="15"/>
      <c r="G14" s="15"/>
      <c r="H14" s="15"/>
      <c r="J14" s="150"/>
      <c r="K14" s="42"/>
      <c r="L14" s="42"/>
      <c r="M14" s="42"/>
      <c r="N14" s="137"/>
      <c r="O14" s="135"/>
      <c r="P14" s="136"/>
      <c r="R14" s="150"/>
      <c r="V14" s="137"/>
      <c r="W14" s="135"/>
      <c r="X14" s="136"/>
    </row>
    <row r="15" spans="1:24">
      <c r="A15" s="185"/>
      <c r="B15" s="185"/>
      <c r="D15" s="15"/>
      <c r="E15" s="15"/>
      <c r="F15" s="15"/>
      <c r="G15" s="15"/>
      <c r="H15" s="15"/>
      <c r="J15" s="150"/>
      <c r="K15" s="42"/>
      <c r="L15" s="42"/>
      <c r="M15" s="42"/>
      <c r="N15" s="137"/>
      <c r="O15" s="135"/>
      <c r="P15" s="136"/>
      <c r="R15" s="150"/>
      <c r="V15" s="137"/>
      <c r="W15" s="135"/>
      <c r="X15" s="136"/>
    </row>
    <row r="16" spans="1:24">
      <c r="A16" s="145"/>
      <c r="B16" s="42"/>
      <c r="D16" s="15"/>
      <c r="E16" s="15"/>
      <c r="F16" s="15"/>
      <c r="G16" s="15"/>
      <c r="H16" s="15"/>
      <c r="J16" s="150"/>
      <c r="K16" s="42"/>
      <c r="L16" s="42"/>
      <c r="M16" s="42"/>
      <c r="N16" s="137"/>
      <c r="O16" s="135"/>
      <c r="P16" s="136"/>
      <c r="R16" s="150"/>
      <c r="V16" s="137"/>
      <c r="W16" s="135"/>
      <c r="X16" s="136"/>
    </row>
    <row r="17" spans="1:24" ht="16" thickBot="1">
      <c r="A17" s="146"/>
      <c r="B17" s="142"/>
      <c r="C17" s="138"/>
      <c r="D17" s="147"/>
      <c r="E17" s="147"/>
      <c r="F17" s="147"/>
      <c r="G17" s="147"/>
      <c r="H17" s="147"/>
      <c r="J17" s="151"/>
      <c r="K17" s="142"/>
      <c r="L17" s="142"/>
      <c r="M17" s="142"/>
      <c r="N17" s="139"/>
      <c r="O17" s="140"/>
      <c r="P17" s="141"/>
      <c r="R17" s="151"/>
      <c r="S17" s="138"/>
      <c r="T17" s="138"/>
      <c r="U17" s="138"/>
      <c r="V17" s="139"/>
      <c r="W17" s="140"/>
      <c r="X17" s="141"/>
    </row>
    <row r="18" spans="1:24" ht="16" thickBot="1">
      <c r="A18" s="42"/>
      <c r="B18" s="42"/>
      <c r="K18" s="42"/>
      <c r="L18" s="42"/>
      <c r="M18" s="42"/>
      <c r="N18" s="137"/>
      <c r="O18" s="135"/>
      <c r="P18" s="16"/>
      <c r="V18" s="137"/>
      <c r="W18" s="135"/>
      <c r="X18" s="16"/>
    </row>
    <row r="19" spans="1:24">
      <c r="A19" s="182" t="s">
        <v>135</v>
      </c>
      <c r="B19" s="183"/>
      <c r="C19" s="183"/>
      <c r="D19" s="183"/>
      <c r="E19" s="183"/>
      <c r="F19" s="183"/>
      <c r="G19" s="183"/>
      <c r="H19" s="184"/>
      <c r="J19" s="182" t="s">
        <v>136</v>
      </c>
      <c r="K19" s="183"/>
      <c r="L19" s="183"/>
      <c r="M19" s="183"/>
      <c r="N19" s="183"/>
      <c r="O19" s="183"/>
      <c r="P19" s="184"/>
      <c r="R19" s="182" t="s">
        <v>137</v>
      </c>
      <c r="S19" s="183"/>
      <c r="T19" s="183"/>
      <c r="U19" s="183"/>
      <c r="V19" s="183"/>
      <c r="W19" s="183"/>
      <c r="X19" s="184"/>
    </row>
    <row r="20" spans="1:24" ht="28.5" customHeight="1">
      <c r="A20" s="149"/>
      <c r="B20" s="126" t="s">
        <v>21</v>
      </c>
      <c r="C20" s="126" t="s">
        <v>22</v>
      </c>
      <c r="D20" s="126" t="s">
        <v>30</v>
      </c>
      <c r="E20" s="131" t="s">
        <v>116</v>
      </c>
      <c r="F20" s="160" t="s">
        <v>103</v>
      </c>
      <c r="G20" s="132" t="s">
        <v>117</v>
      </c>
      <c r="H20" s="133" t="s">
        <v>130</v>
      </c>
      <c r="J20" s="149"/>
      <c r="K20" s="126" t="s">
        <v>21</v>
      </c>
      <c r="L20" s="126" t="s">
        <v>22</v>
      </c>
      <c r="M20" s="126" t="s">
        <v>30</v>
      </c>
      <c r="N20" s="131" t="s">
        <v>73</v>
      </c>
      <c r="O20" s="132" t="s">
        <v>74</v>
      </c>
      <c r="P20" s="133" t="s">
        <v>130</v>
      </c>
      <c r="R20" s="149"/>
      <c r="S20" s="126" t="s">
        <v>21</v>
      </c>
      <c r="T20" s="126" t="s">
        <v>22</v>
      </c>
      <c r="U20" s="126" t="s">
        <v>30</v>
      </c>
      <c r="V20" s="131" t="s">
        <v>115</v>
      </c>
      <c r="W20" s="132" t="s">
        <v>101</v>
      </c>
      <c r="X20" s="133" t="s">
        <v>130</v>
      </c>
    </row>
    <row r="21" spans="1:24">
      <c r="A21" s="150">
        <v>1</v>
      </c>
      <c r="B21" s="42">
        <v>128081</v>
      </c>
      <c r="C21" s="42" t="s">
        <v>95</v>
      </c>
      <c r="D21" s="42">
        <v>112.669</v>
      </c>
      <c r="E21" s="158">
        <v>34.35</v>
      </c>
      <c r="F21" s="161">
        <v>12.096950282573701</v>
      </c>
      <c r="G21" s="159">
        <v>-0.22253049717426301</v>
      </c>
      <c r="H21" s="136" t="str">
        <f t="shared" ref="H21:H26" si="6">IF(ISNA(MATCH(B21,$A$3:$A$89,0)),"No","Yes")</f>
        <v>No</v>
      </c>
      <c r="J21" s="150">
        <v>1</v>
      </c>
      <c r="K21" s="42">
        <v>127032</v>
      </c>
      <c r="L21" s="42" t="s">
        <v>55</v>
      </c>
      <c r="M21" s="42">
        <v>118.5</v>
      </c>
      <c r="N21" s="134">
        <v>131.8481055622641</v>
      </c>
      <c r="O21" s="159">
        <v>-0.10123850854998118</v>
      </c>
      <c r="P21" s="136" t="str">
        <f t="shared" ref="P21:P28" si="7">IF(ISNA(MATCH(K21,$A$3:$A$89,0)),"No","Yes")</f>
        <v>Yes</v>
      </c>
      <c r="R21" s="150">
        <v>1</v>
      </c>
      <c r="S21" s="42">
        <v>123092</v>
      </c>
      <c r="T21" s="42" t="s">
        <v>37</v>
      </c>
      <c r="U21" s="42">
        <v>144.50299999999999</v>
      </c>
      <c r="V21" s="134">
        <v>97.9</v>
      </c>
      <c r="W21" s="135">
        <v>1.0299146196142432</v>
      </c>
      <c r="X21" s="136" t="str">
        <f>IF(ISNA(MATCH(S21,$A$3:$A$89,0)),"No","Yes")</f>
        <v>No</v>
      </c>
    </row>
    <row r="22" spans="1:24">
      <c r="A22" s="150">
        <v>2</v>
      </c>
      <c r="B22" s="42">
        <v>127032</v>
      </c>
      <c r="C22" s="42" t="s">
        <v>55</v>
      </c>
      <c r="D22" s="42">
        <v>118.5</v>
      </c>
      <c r="E22" s="158">
        <v>43.85</v>
      </c>
      <c r="F22" s="161">
        <v>22.059075620651242</v>
      </c>
      <c r="G22" s="159">
        <v>-0.21790924379348758</v>
      </c>
      <c r="H22" s="136" t="str">
        <f t="shared" si="6"/>
        <v>Yes</v>
      </c>
      <c r="J22" s="150">
        <v>2</v>
      </c>
      <c r="K22" s="42">
        <v>128081</v>
      </c>
      <c r="L22" s="42" t="s">
        <v>95</v>
      </c>
      <c r="M22" s="42">
        <v>112.669</v>
      </c>
      <c r="N22" s="134">
        <v>123.67902535187028</v>
      </c>
      <c r="O22" s="159">
        <v>-8.9020958246933568E-2</v>
      </c>
      <c r="P22" s="136" t="str">
        <f t="shared" si="7"/>
        <v>No</v>
      </c>
      <c r="R22" s="150">
        <v>2</v>
      </c>
      <c r="S22" s="42">
        <v>113648</v>
      </c>
      <c r="T22" s="42" t="s">
        <v>35</v>
      </c>
      <c r="U22" s="42">
        <v>135.22999999999999</v>
      </c>
      <c r="V22" s="134">
        <v>93.72</v>
      </c>
      <c r="W22" s="135">
        <v>0.5787206586410123</v>
      </c>
      <c r="X22" s="136" t="str">
        <f>IF(ISNA(MATCH(S22,$A$3:$A$89,0)),"No","Yes")</f>
        <v>No</v>
      </c>
    </row>
    <row r="23" spans="1:24">
      <c r="A23" s="150">
        <v>3</v>
      </c>
      <c r="B23" s="42">
        <v>113665</v>
      </c>
      <c r="C23" s="42" t="s">
        <v>65</v>
      </c>
      <c r="D23" s="42">
        <v>97.903000000000006</v>
      </c>
      <c r="E23" s="158">
        <v>41.33</v>
      </c>
      <c r="F23" s="161">
        <v>26.247571332931518</v>
      </c>
      <c r="G23" s="159">
        <v>-0.15082428667068482</v>
      </c>
      <c r="H23" s="136" t="str">
        <f t="shared" si="6"/>
        <v>Yes</v>
      </c>
      <c r="J23" s="150">
        <v>3</v>
      </c>
      <c r="K23" s="42">
        <v>111007</v>
      </c>
      <c r="L23" s="42" t="s">
        <v>40</v>
      </c>
      <c r="M23" s="42">
        <v>130.262</v>
      </c>
      <c r="N23" s="134">
        <v>142.80581739910707</v>
      </c>
      <c r="O23" s="159">
        <v>-8.783828017349038E-2</v>
      </c>
      <c r="P23" s="136" t="str">
        <f t="shared" si="7"/>
        <v>No</v>
      </c>
      <c r="R23" s="150">
        <v>3</v>
      </c>
      <c r="S23" s="42">
        <v>111007</v>
      </c>
      <c r="T23" s="42" t="s">
        <v>40</v>
      </c>
      <c r="U23" s="42">
        <v>130.262</v>
      </c>
      <c r="V23" s="134">
        <v>94.96</v>
      </c>
      <c r="W23" s="135">
        <v>0.40075917883384954</v>
      </c>
      <c r="X23" s="136" t="str">
        <f>IF(ISNA(MATCH(S23,$A$3:$A$89,0)),"No","Yes")</f>
        <v>No</v>
      </c>
    </row>
    <row r="24" spans="1:24">
      <c r="A24" s="150">
        <v>4</v>
      </c>
      <c r="B24" s="42">
        <v>118019</v>
      </c>
      <c r="C24" s="42" t="s">
        <v>42</v>
      </c>
      <c r="D24" s="42">
        <v>125.075</v>
      </c>
      <c r="E24" s="158">
        <v>30.57</v>
      </c>
      <c r="F24" s="161">
        <v>16.001182365655904</v>
      </c>
      <c r="G24" s="159">
        <v>-0.14568817634344097</v>
      </c>
      <c r="H24" s="136" t="str">
        <f t="shared" si="6"/>
        <v>No</v>
      </c>
      <c r="J24" s="150">
        <v>4</v>
      </c>
      <c r="K24" s="42">
        <v>118019</v>
      </c>
      <c r="L24" s="42" t="s">
        <v>42</v>
      </c>
      <c r="M24" s="42">
        <v>125.075</v>
      </c>
      <c r="N24" s="134">
        <v>136.00173580463701</v>
      </c>
      <c r="O24" s="159">
        <v>-8.0342620187826008E-2</v>
      </c>
      <c r="P24" s="136" t="str">
        <f t="shared" si="7"/>
        <v>No</v>
      </c>
      <c r="R24" s="150">
        <v>4</v>
      </c>
      <c r="S24" s="42">
        <v>123127</v>
      </c>
      <c r="T24" s="42" t="s">
        <v>39</v>
      </c>
      <c r="U24" s="42">
        <v>128</v>
      </c>
      <c r="V24" s="134">
        <v>88.89</v>
      </c>
      <c r="W24" s="135">
        <v>0.22207021701713472</v>
      </c>
      <c r="X24" s="136" t="str">
        <f>IF(ISNA(MATCH(S24,$A$3:$A$89,0)),"No","Yes")</f>
        <v>No</v>
      </c>
    </row>
    <row r="25" spans="1:24">
      <c r="A25" s="150">
        <v>5</v>
      </c>
      <c r="B25" s="42">
        <v>127091</v>
      </c>
      <c r="C25" s="42" t="s">
        <v>61</v>
      </c>
      <c r="D25" s="42">
        <v>113.511</v>
      </c>
      <c r="E25" s="158">
        <v>45.58</v>
      </c>
      <c r="F25" s="161">
        <v>33.89298266339302</v>
      </c>
      <c r="G25" s="159">
        <v>-0.11687017336606978</v>
      </c>
      <c r="H25" s="136" t="str">
        <f t="shared" si="6"/>
        <v>Yes</v>
      </c>
      <c r="J25" s="150">
        <v>5</v>
      </c>
      <c r="K25" s="42">
        <v>113648</v>
      </c>
      <c r="L25" s="42" t="s">
        <v>35</v>
      </c>
      <c r="M25" s="42">
        <v>135.22999999999999</v>
      </c>
      <c r="N25" s="134">
        <v>144.46309082127416</v>
      </c>
      <c r="O25" s="159">
        <v>-6.3913147425989303E-2</v>
      </c>
      <c r="P25" s="136" t="str">
        <f t="shared" si="7"/>
        <v>No</v>
      </c>
      <c r="R25" s="150"/>
      <c r="S25" s="42"/>
      <c r="T25" s="42"/>
      <c r="U25" s="42"/>
      <c r="V25" s="134"/>
      <c r="W25" s="135"/>
      <c r="X25" s="136"/>
    </row>
    <row r="26" spans="1:24">
      <c r="A26" s="150">
        <v>6</v>
      </c>
      <c r="B26" s="42">
        <v>110055</v>
      </c>
      <c r="C26" s="42" t="s">
        <v>41</v>
      </c>
      <c r="D26" s="42">
        <v>141.22800000000001</v>
      </c>
      <c r="E26" s="134">
        <v>45.91</v>
      </c>
      <c r="F26" s="166">
        <v>34.406292731046676</v>
      </c>
      <c r="G26" s="167">
        <v>-0.1150370726895332</v>
      </c>
      <c r="H26" s="136" t="str">
        <f t="shared" si="6"/>
        <v>No</v>
      </c>
      <c r="J26" s="150">
        <v>6</v>
      </c>
      <c r="K26" s="42">
        <v>113665</v>
      </c>
      <c r="L26" s="42" t="s">
        <v>65</v>
      </c>
      <c r="M26" s="42">
        <v>97.903000000000006</v>
      </c>
      <c r="N26" s="134">
        <v>104.45748578732901</v>
      </c>
      <c r="O26" s="159">
        <v>-6.274788003871401E-2</v>
      </c>
      <c r="P26" s="136" t="str">
        <f t="shared" si="7"/>
        <v>Yes</v>
      </c>
      <c r="R26" s="150"/>
      <c r="S26" s="42"/>
      <c r="T26" s="42"/>
      <c r="U26" s="42"/>
      <c r="V26" s="134"/>
      <c r="W26" s="135"/>
      <c r="X26" s="136"/>
    </row>
    <row r="27" spans="1:24">
      <c r="A27" s="150"/>
      <c r="B27" s="42"/>
      <c r="C27" s="42"/>
      <c r="D27" s="42"/>
      <c r="E27" s="137"/>
      <c r="G27" s="135"/>
      <c r="H27" s="136"/>
      <c r="J27" s="150">
        <v>7</v>
      </c>
      <c r="K27" s="42">
        <v>127091</v>
      </c>
      <c r="L27" s="42" t="s">
        <v>61</v>
      </c>
      <c r="M27" s="42">
        <v>113.511</v>
      </c>
      <c r="N27" s="134">
        <v>120.81563899199134</v>
      </c>
      <c r="O27" s="159">
        <v>-6.0461038429598934E-2</v>
      </c>
      <c r="P27" s="136" t="str">
        <f t="shared" si="7"/>
        <v>Yes</v>
      </c>
      <c r="R27" s="150"/>
      <c r="S27" s="42"/>
      <c r="T27" s="42"/>
      <c r="U27" s="42"/>
      <c r="V27" s="137"/>
      <c r="W27" s="135"/>
      <c r="X27" s="136"/>
    </row>
    <row r="28" spans="1:24">
      <c r="A28" s="150"/>
      <c r="B28" s="42"/>
      <c r="C28" s="42"/>
      <c r="D28" s="42"/>
      <c r="E28" s="137"/>
      <c r="G28" s="135"/>
      <c r="H28" s="136"/>
      <c r="J28" s="150">
        <v>8</v>
      </c>
      <c r="K28" s="42">
        <v>127014</v>
      </c>
      <c r="L28" s="42" t="s">
        <v>38</v>
      </c>
      <c r="M28" s="42">
        <v>148.74</v>
      </c>
      <c r="N28" s="134">
        <v>157.46289478591237</v>
      </c>
      <c r="O28" s="135">
        <v>-5.5396509747722256E-2</v>
      </c>
      <c r="P28" s="136" t="str">
        <f t="shared" si="7"/>
        <v>No</v>
      </c>
      <c r="R28" s="150"/>
      <c r="S28" s="42"/>
      <c r="T28" s="42"/>
      <c r="U28" s="42"/>
      <c r="V28" s="137"/>
      <c r="W28" s="135"/>
      <c r="X28" s="136"/>
    </row>
    <row r="29" spans="1:24">
      <c r="A29" s="150"/>
      <c r="B29" s="42"/>
      <c r="C29" s="42"/>
      <c r="D29" s="42"/>
      <c r="E29" s="137"/>
      <c r="G29" s="135"/>
      <c r="H29" s="136"/>
      <c r="J29" s="150"/>
      <c r="K29" s="42"/>
      <c r="L29" s="42"/>
      <c r="M29" s="42"/>
      <c r="N29" s="134"/>
      <c r="O29" s="135"/>
      <c r="P29" s="136"/>
      <c r="R29" s="150"/>
      <c r="S29" s="42"/>
      <c r="T29" s="42"/>
      <c r="U29" s="42"/>
      <c r="V29" s="137"/>
      <c r="W29" s="135"/>
      <c r="X29" s="136"/>
    </row>
    <row r="30" spans="1:24">
      <c r="A30" s="150"/>
      <c r="B30" s="42"/>
      <c r="C30" s="42"/>
      <c r="D30" s="42"/>
      <c r="E30" s="137"/>
      <c r="G30" s="135"/>
      <c r="H30" s="136"/>
      <c r="J30" s="150"/>
      <c r="K30" s="42"/>
      <c r="L30" s="42"/>
      <c r="M30" s="42"/>
      <c r="N30" s="134"/>
      <c r="O30" s="135"/>
      <c r="P30" s="136"/>
      <c r="R30" s="150"/>
      <c r="S30" s="42"/>
      <c r="T30" s="42"/>
      <c r="U30" s="42"/>
      <c r="V30" s="137"/>
      <c r="W30" s="135"/>
      <c r="X30" s="136"/>
    </row>
    <row r="31" spans="1:24">
      <c r="A31" s="150"/>
      <c r="B31" s="42"/>
      <c r="C31" s="42"/>
      <c r="D31" s="42"/>
      <c r="E31" s="137"/>
      <c r="G31" s="135"/>
      <c r="H31" s="136"/>
      <c r="J31" s="150"/>
      <c r="K31" s="42"/>
      <c r="L31" s="42"/>
      <c r="M31" s="42"/>
      <c r="N31" s="134"/>
      <c r="O31" s="135"/>
      <c r="P31" s="136"/>
      <c r="R31" s="150"/>
      <c r="S31" s="42"/>
      <c r="T31" s="42"/>
      <c r="U31" s="42"/>
      <c r="V31" s="137"/>
      <c r="W31" s="135"/>
      <c r="X31" s="136"/>
    </row>
    <row r="32" spans="1:24">
      <c r="A32" s="150"/>
      <c r="B32" s="42"/>
      <c r="C32" s="42"/>
      <c r="D32" s="42"/>
      <c r="E32" s="137"/>
      <c r="G32" s="135"/>
      <c r="H32" s="136"/>
      <c r="J32" s="150"/>
      <c r="K32" s="42"/>
      <c r="L32" s="42"/>
      <c r="M32" s="42"/>
      <c r="N32" s="134"/>
      <c r="O32" s="135"/>
      <c r="P32" s="136"/>
      <c r="R32" s="150"/>
      <c r="S32" s="42"/>
      <c r="T32" s="42"/>
      <c r="U32" s="42"/>
      <c r="V32" s="137"/>
      <c r="W32" s="135"/>
      <c r="X32" s="136"/>
    </row>
    <row r="33" spans="1:24">
      <c r="A33" s="150"/>
      <c r="B33" s="42"/>
      <c r="C33" s="42"/>
      <c r="D33" s="42"/>
      <c r="E33" s="137"/>
      <c r="G33" s="135"/>
      <c r="H33" s="136"/>
      <c r="J33" s="150"/>
      <c r="K33" s="42"/>
      <c r="L33" s="42"/>
      <c r="M33" s="42"/>
      <c r="N33" s="134"/>
      <c r="O33" s="135"/>
      <c r="P33" s="136"/>
      <c r="R33" s="150"/>
      <c r="S33" s="42"/>
      <c r="T33" s="42"/>
      <c r="U33" s="42"/>
      <c r="V33" s="137"/>
      <c r="W33" s="135"/>
      <c r="X33" s="136"/>
    </row>
    <row r="34" spans="1:24">
      <c r="A34" s="150"/>
      <c r="B34" s="42"/>
      <c r="C34" s="42"/>
      <c r="D34" s="42"/>
      <c r="E34" s="137"/>
      <c r="G34" s="135"/>
      <c r="H34" s="136"/>
      <c r="J34" s="150"/>
      <c r="K34" s="42"/>
      <c r="L34" s="42"/>
      <c r="M34" s="42"/>
      <c r="N34" s="134"/>
      <c r="O34" s="135"/>
      <c r="P34" s="136"/>
      <c r="R34" s="150"/>
      <c r="S34" s="42"/>
      <c r="T34" s="42"/>
      <c r="U34" s="42"/>
      <c r="V34" s="137"/>
      <c r="W34" s="135"/>
      <c r="X34" s="136"/>
    </row>
    <row r="35" spans="1:24" ht="16" thickBot="1">
      <c r="A35" s="151"/>
      <c r="B35" s="142"/>
      <c r="C35" s="142"/>
      <c r="D35" s="142"/>
      <c r="E35" s="139"/>
      <c r="F35" s="139"/>
      <c r="G35" s="140"/>
      <c r="H35" s="141"/>
      <c r="J35" s="151"/>
      <c r="K35" s="142"/>
      <c r="L35" s="142"/>
      <c r="M35" s="142"/>
      <c r="N35" s="196"/>
      <c r="O35" s="140"/>
      <c r="P35" s="141"/>
      <c r="R35" s="151"/>
      <c r="S35" s="142"/>
      <c r="T35" s="142"/>
      <c r="U35" s="142"/>
      <c r="V35" s="139"/>
      <c r="W35" s="140"/>
      <c r="X35" s="141"/>
    </row>
  </sheetData>
  <autoFilter ref="A2:X18" xr:uid="{00000000-0009-0000-0000-000002000000}"/>
  <mergeCells count="8">
    <mergeCell ref="R1:X1"/>
    <mergeCell ref="J19:P19"/>
    <mergeCell ref="R19:X19"/>
    <mergeCell ref="A13:B15"/>
    <mergeCell ref="A19:H19"/>
    <mergeCell ref="D1:H1"/>
    <mergeCell ref="A1:C1"/>
    <mergeCell ref="J1:P1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refresh_singlefactor_strategies">
                <anchor moveWithCells="1" sizeWithCells="1">
                  <from>
                    <xdr:col>0</xdr:col>
                    <xdr:colOff>82550</xdr:colOff>
                    <xdr:row>15</xdr:row>
                    <xdr:rowOff>44450</xdr:rowOff>
                  </from>
                  <to>
                    <xdr:col>1</xdr:col>
                    <xdr:colOff>419100</xdr:colOff>
                    <xdr:row>16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AG24"/>
  <sheetViews>
    <sheetView tabSelected="1" zoomScale="110" zoomScaleNormal="110" workbookViewId="0">
      <pane ySplit="2" topLeftCell="A3" activePane="bottomLeft" state="frozen"/>
      <selection pane="bottomLeft" activeCell="L45" sqref="L45"/>
    </sheetView>
  </sheetViews>
  <sheetFormatPr defaultColWidth="8.58203125" defaultRowHeight="15.5"/>
  <cols>
    <col min="1" max="3" width="8.58203125" style="13"/>
    <col min="4" max="5" width="12.58203125" style="16" customWidth="1"/>
    <col min="6" max="6" width="12.58203125" style="13" customWidth="1"/>
    <col min="7" max="7" width="8.58203125" style="13"/>
    <col min="8" max="8" width="3.58203125" style="148" customWidth="1"/>
    <col min="9" max="11" width="8.58203125" style="13"/>
    <col min="12" max="12" width="8.58203125" style="129"/>
    <col min="13" max="13" width="8.58203125" style="13"/>
    <col min="14" max="14" width="8.58203125" style="130"/>
    <col min="15" max="16" width="8.58203125" style="13"/>
    <col min="17" max="17" width="3.58203125" style="148" customWidth="1"/>
    <col min="18" max="20" width="8.58203125" style="13"/>
    <col min="21" max="21" width="8.58203125" style="129"/>
    <col min="22" max="22" width="8.58203125" style="130"/>
    <col min="23" max="25" width="8.58203125" style="13"/>
    <col min="26" max="26" width="3.58203125" style="13" customWidth="1"/>
    <col min="27" max="16384" width="8.58203125" style="13"/>
  </cols>
  <sheetData>
    <row r="1" spans="1:33">
      <c r="A1" s="182" t="s">
        <v>121</v>
      </c>
      <c r="B1" s="183"/>
      <c r="C1" s="183"/>
      <c r="D1" s="189" t="s">
        <v>127</v>
      </c>
      <c r="E1" s="189"/>
      <c r="F1" s="190"/>
      <c r="H1" s="182" t="s">
        <v>148</v>
      </c>
      <c r="I1" s="183"/>
      <c r="J1" s="183"/>
      <c r="K1" s="183"/>
      <c r="L1" s="183"/>
      <c r="M1" s="183"/>
      <c r="N1" s="183"/>
      <c r="O1" s="184"/>
      <c r="P1" s="128"/>
      <c r="Q1" s="182" t="s">
        <v>149</v>
      </c>
      <c r="R1" s="183"/>
      <c r="S1" s="183"/>
      <c r="T1" s="183"/>
      <c r="U1" s="183"/>
      <c r="V1" s="183"/>
      <c r="W1" s="183"/>
      <c r="X1" s="184"/>
      <c r="Z1" s="182" t="s">
        <v>150</v>
      </c>
      <c r="AA1" s="183"/>
      <c r="AB1" s="183"/>
      <c r="AC1" s="183"/>
      <c r="AD1" s="183"/>
      <c r="AE1" s="183"/>
      <c r="AF1" s="183"/>
      <c r="AG1" s="184"/>
    </row>
    <row r="2" spans="1:33" s="128" customFormat="1" ht="28.25" customHeight="1">
      <c r="A2" s="143" t="s">
        <v>21</v>
      </c>
      <c r="B2" s="126" t="s">
        <v>22</v>
      </c>
      <c r="C2" s="126" t="s">
        <v>30</v>
      </c>
      <c r="D2" s="14" t="s">
        <v>107</v>
      </c>
      <c r="E2" s="14" t="s">
        <v>108</v>
      </c>
      <c r="F2" s="168" t="s">
        <v>120</v>
      </c>
      <c r="H2" s="169"/>
      <c r="I2" s="128" t="s">
        <v>21</v>
      </c>
      <c r="J2" s="128" t="s">
        <v>22</v>
      </c>
      <c r="K2" s="128" t="s">
        <v>30</v>
      </c>
      <c r="L2" s="170" t="s">
        <v>15</v>
      </c>
      <c r="M2" s="128" t="s">
        <v>44</v>
      </c>
      <c r="N2" s="171" t="s">
        <v>142</v>
      </c>
      <c r="O2" s="168" t="s">
        <v>130</v>
      </c>
      <c r="Q2" s="169"/>
      <c r="R2" s="128" t="s">
        <v>21</v>
      </c>
      <c r="S2" s="128" t="s">
        <v>22</v>
      </c>
      <c r="T2" s="128" t="s">
        <v>30</v>
      </c>
      <c r="U2" s="170" t="s">
        <v>15</v>
      </c>
      <c r="V2" s="171" t="s">
        <v>44</v>
      </c>
      <c r="W2" s="171" t="s">
        <v>143</v>
      </c>
      <c r="X2" s="168" t="s">
        <v>130</v>
      </c>
      <c r="Z2" s="172"/>
      <c r="AA2" s="128" t="s">
        <v>21</v>
      </c>
      <c r="AB2" s="128" t="s">
        <v>22</v>
      </c>
      <c r="AC2" s="128" t="s">
        <v>117</v>
      </c>
      <c r="AD2" s="128" t="s">
        <v>74</v>
      </c>
      <c r="AE2" s="128" t="s">
        <v>101</v>
      </c>
      <c r="AF2" s="128" t="s">
        <v>147</v>
      </c>
      <c r="AG2" s="168" t="s">
        <v>130</v>
      </c>
    </row>
    <row r="3" spans="1:33" s="173" customFormat="1">
      <c r="A3" s="144">
        <v>123236</v>
      </c>
      <c r="B3" s="42" t="s">
        <v>57</v>
      </c>
      <c r="C3" s="173">
        <f>VLOOKUP(A3,RealTimeData_ConvertibleBond!$B$7:$D$25,3,FALSE)</f>
        <v>116.148</v>
      </c>
      <c r="D3" s="15">
        <f t="shared" ref="D3:D10" si="0">MATCH(A3,$I$1:$I$255,0)-2</f>
        <v>1</v>
      </c>
      <c r="E3" s="15" t="e">
        <f t="shared" ref="E3:F10" si="1">MATCH(A3,$R$1:$R$17,0)-2</f>
        <v>#N/A</v>
      </c>
      <c r="F3" s="136" t="e">
        <f t="shared" si="1"/>
        <v>#N/A</v>
      </c>
      <c r="H3" s="174">
        <v>1</v>
      </c>
      <c r="I3" s="42">
        <v>123236</v>
      </c>
      <c r="J3" s="42" t="s">
        <v>57</v>
      </c>
      <c r="K3" s="42">
        <v>116.148</v>
      </c>
      <c r="L3" s="137">
        <v>38.44</v>
      </c>
      <c r="M3" s="42">
        <v>750</v>
      </c>
      <c r="N3" s="135">
        <v>580.74</v>
      </c>
      <c r="O3" s="136" t="str">
        <f>IF(ISNA(MATCH(I3,$A$3:$A$255,0)),"No","Yes")</f>
        <v>Yes</v>
      </c>
      <c r="Q3" s="174">
        <v>1</v>
      </c>
      <c r="R3" s="13">
        <v>123127</v>
      </c>
      <c r="S3" s="13" t="s">
        <v>39</v>
      </c>
      <c r="T3" s="13">
        <v>128</v>
      </c>
      <c r="U3" s="137">
        <v>7.14</v>
      </c>
      <c r="V3" s="135">
        <v>399.67689999999999</v>
      </c>
      <c r="W3" s="135">
        <v>896</v>
      </c>
      <c r="X3" s="136" t="str">
        <f t="shared" ref="X3:X4" si="2">IF(ISNA(MATCH(S3,$A$3:$A$255,0)),"No","Yes")</f>
        <v>No</v>
      </c>
      <c r="Z3" s="175">
        <v>1</v>
      </c>
      <c r="AA3" s="173">
        <v>127037</v>
      </c>
      <c r="AB3" s="173" t="s">
        <v>34</v>
      </c>
      <c r="AC3" s="173">
        <v>-0.41560000000000002</v>
      </c>
      <c r="AD3" s="173">
        <v>-0.11678080374831967</v>
      </c>
      <c r="AE3" s="173">
        <v>0.28669384477546583</v>
      </c>
      <c r="AF3" s="173">
        <v>-2.0780000000000003</v>
      </c>
      <c r="AG3" s="136" t="str">
        <f t="shared" ref="AG3:AG4" si="3">IF(ISNA(MATCH(AB3,$A$3:$A$255,0)),"No","Yes")</f>
        <v>No</v>
      </c>
    </row>
    <row r="4" spans="1:33" s="173" customFormat="1">
      <c r="A4" s="144">
        <v>127101</v>
      </c>
      <c r="B4" s="42" t="s">
        <v>59</v>
      </c>
      <c r="C4" s="173">
        <f>VLOOKUP(A4,RealTimeData_ConvertibleBond!$B$7:$D$25,3,FALSE)</f>
        <v>106.968</v>
      </c>
      <c r="D4" s="15" t="e">
        <f t="shared" si="0"/>
        <v>#N/A</v>
      </c>
      <c r="E4" s="15" t="e">
        <f t="shared" si="1"/>
        <v>#N/A</v>
      </c>
      <c r="F4" s="136" t="e">
        <f t="shared" si="1"/>
        <v>#N/A</v>
      </c>
      <c r="H4" s="174">
        <v>2</v>
      </c>
      <c r="I4" s="42">
        <v>123127</v>
      </c>
      <c r="J4" s="42" t="s">
        <v>39</v>
      </c>
      <c r="K4" s="42">
        <v>128</v>
      </c>
      <c r="L4" s="137">
        <v>7.14</v>
      </c>
      <c r="M4" s="42">
        <v>399.67689999999999</v>
      </c>
      <c r="N4" s="135">
        <v>640</v>
      </c>
      <c r="O4" s="136" t="str">
        <f>IF(ISNA(MATCH(I4,$A$3:$A$255,0)),"No","Yes")</f>
        <v>No</v>
      </c>
      <c r="Q4" s="174">
        <v>2</v>
      </c>
      <c r="R4" s="13">
        <v>110055</v>
      </c>
      <c r="S4" s="13" t="s">
        <v>41</v>
      </c>
      <c r="T4" s="13">
        <v>141.22800000000001</v>
      </c>
      <c r="U4" s="137">
        <v>11.31</v>
      </c>
      <c r="V4" s="135">
        <v>243.215</v>
      </c>
      <c r="W4" s="135">
        <v>988.596</v>
      </c>
      <c r="X4" s="136" t="str">
        <f t="shared" si="2"/>
        <v>No</v>
      </c>
      <c r="Z4" s="175">
        <v>2</v>
      </c>
      <c r="AA4" s="173">
        <v>127014</v>
      </c>
      <c r="AB4" s="173" t="s">
        <v>38</v>
      </c>
      <c r="AC4" s="173">
        <v>-0.40770000000000001</v>
      </c>
      <c r="AD4" s="173">
        <v>-5.5396509747722256E-2</v>
      </c>
      <c r="AE4" s="173">
        <v>0.28865130957872964</v>
      </c>
      <c r="AF4" s="173">
        <v>-2.0385</v>
      </c>
      <c r="AG4" s="136" t="str">
        <f t="shared" si="3"/>
        <v>No</v>
      </c>
    </row>
    <row r="5" spans="1:33">
      <c r="A5" s="144">
        <v>127091</v>
      </c>
      <c r="B5" s="42" t="s">
        <v>61</v>
      </c>
      <c r="C5" s="173">
        <f>VLOOKUP(A5,RealTimeData_ConvertibleBond!$B$7:$D$25,3,FALSE)</f>
        <v>113.511</v>
      </c>
      <c r="D5" s="15" t="e">
        <f t="shared" si="0"/>
        <v>#N/A</v>
      </c>
      <c r="E5" s="15" t="e">
        <f t="shared" si="1"/>
        <v>#N/A</v>
      </c>
      <c r="F5" s="136" t="e">
        <f t="shared" si="1"/>
        <v>#N/A</v>
      </c>
      <c r="H5" s="174">
        <v>3</v>
      </c>
      <c r="I5" s="42">
        <v>111007</v>
      </c>
      <c r="J5" s="42" t="s">
        <v>40</v>
      </c>
      <c r="K5" s="42">
        <v>130.262</v>
      </c>
      <c r="L5" s="137">
        <v>-0.12</v>
      </c>
      <c r="M5" s="42">
        <v>791.17700000000002</v>
      </c>
      <c r="N5" s="135">
        <v>651.30999999999995</v>
      </c>
      <c r="O5" s="136" t="str">
        <f>IF(ISNA(MATCH(I5,$A$3:$A$255,0)),"No","Yes")</f>
        <v>No</v>
      </c>
      <c r="Q5" s="174">
        <v>3</v>
      </c>
      <c r="R5" s="13">
        <v>123092</v>
      </c>
      <c r="S5" s="13" t="s">
        <v>37</v>
      </c>
      <c r="T5" s="13">
        <v>144.50299999999999</v>
      </c>
      <c r="U5" s="137">
        <v>3.45</v>
      </c>
      <c r="V5" s="135">
        <v>398.81670000000003</v>
      </c>
      <c r="W5" s="135">
        <v>1011.521</v>
      </c>
      <c r="X5" s="136" t="str">
        <f>IF(ISNA(MATCH(S5,$A$3:$A$255,0)),"No","Yes")</f>
        <v>No</v>
      </c>
      <c r="Z5" s="176">
        <v>3</v>
      </c>
      <c r="AA5" s="13">
        <v>111007</v>
      </c>
      <c r="AB5" s="13" t="s">
        <v>40</v>
      </c>
      <c r="AC5" s="13">
        <v>-0.2712</v>
      </c>
      <c r="AD5" s="13">
        <v>-8.783828017349038E-2</v>
      </c>
      <c r="AE5" s="13">
        <v>0.40075917883384954</v>
      </c>
      <c r="AF5" s="13">
        <v>-1.3559999999999999</v>
      </c>
      <c r="AG5" s="136" t="str">
        <f>IF(ISNA(MATCH(AB5,$A$3:$A$255,0)),"No","Yes")</f>
        <v>No</v>
      </c>
    </row>
    <row r="6" spans="1:33">
      <c r="A6" s="144">
        <v>118035</v>
      </c>
      <c r="B6" s="42" t="s">
        <v>63</v>
      </c>
      <c r="C6" s="173">
        <f>VLOOKUP(A6,RealTimeData_ConvertibleBond!$B$7:$D$25,3,FALSE)</f>
        <v>105.34</v>
      </c>
      <c r="D6" s="15" t="e">
        <f t="shared" si="0"/>
        <v>#N/A</v>
      </c>
      <c r="E6" s="15" t="e">
        <f t="shared" si="1"/>
        <v>#N/A</v>
      </c>
      <c r="F6" s="136" t="e">
        <f t="shared" si="1"/>
        <v>#N/A</v>
      </c>
      <c r="H6" s="174">
        <v>4</v>
      </c>
      <c r="I6" s="42">
        <v>110055</v>
      </c>
      <c r="J6" s="42" t="s">
        <v>41</v>
      </c>
      <c r="K6" s="42">
        <v>141.22800000000001</v>
      </c>
      <c r="L6" s="137">
        <v>11.31</v>
      </c>
      <c r="M6" s="42">
        <v>243.215</v>
      </c>
      <c r="N6" s="135">
        <v>706.1400000000001</v>
      </c>
      <c r="O6" s="136" t="str">
        <f>IF(ISNA(MATCH(I6,$A$3:$A$255,0)),"No","Yes")</f>
        <v>No</v>
      </c>
      <c r="Q6" s="174"/>
      <c r="U6" s="137"/>
      <c r="V6" s="135"/>
      <c r="W6" s="135"/>
      <c r="X6" s="136"/>
      <c r="Z6" s="176">
        <v>4</v>
      </c>
      <c r="AA6" s="13">
        <v>113648</v>
      </c>
      <c r="AB6" s="13" t="s">
        <v>35</v>
      </c>
      <c r="AC6" s="13">
        <v>-0.2626</v>
      </c>
      <c r="AD6" s="13">
        <v>-6.3913147425989303E-2</v>
      </c>
      <c r="AE6" s="13">
        <v>0.5787206586410123</v>
      </c>
      <c r="AF6" s="13">
        <v>-1.3129999999999999</v>
      </c>
      <c r="AG6" s="136" t="str">
        <f t="shared" ref="AG6" si="4">IF(ISNA(MATCH(AB6,$A$3:$A$255,0)),"No","Yes")</f>
        <v>No</v>
      </c>
    </row>
    <row r="7" spans="1:33">
      <c r="A7" s="144">
        <v>113665</v>
      </c>
      <c r="B7" s="42" t="s">
        <v>65</v>
      </c>
      <c r="C7" s="173">
        <f>VLOOKUP(A7,RealTimeData_ConvertibleBond!$B$7:$D$25,3,FALSE)</f>
        <v>97.903000000000006</v>
      </c>
      <c r="D7" s="15" t="e">
        <f t="shared" si="0"/>
        <v>#N/A</v>
      </c>
      <c r="E7" s="15" t="e">
        <f t="shared" si="1"/>
        <v>#N/A</v>
      </c>
      <c r="F7" s="136" t="e">
        <f t="shared" si="1"/>
        <v>#N/A</v>
      </c>
      <c r="H7" s="174">
        <v>5</v>
      </c>
      <c r="I7" s="42">
        <v>123092</v>
      </c>
      <c r="J7" s="42" t="s">
        <v>37</v>
      </c>
      <c r="K7" s="42">
        <v>144.50299999999999</v>
      </c>
      <c r="L7" s="137">
        <v>3.45</v>
      </c>
      <c r="M7" s="42">
        <v>398.81670000000003</v>
      </c>
      <c r="N7" s="135">
        <v>722.51499999999987</v>
      </c>
      <c r="O7" s="136" t="str">
        <f>IF(ISNA(MATCH(I7,$A$3:$A$255,0)),"No","Yes")</f>
        <v>No</v>
      </c>
      <c r="Q7" s="174"/>
      <c r="U7" s="137"/>
      <c r="V7" s="135"/>
      <c r="W7" s="135"/>
      <c r="X7" s="136"/>
      <c r="Z7" s="176"/>
      <c r="AG7" s="136"/>
    </row>
    <row r="8" spans="1:33">
      <c r="A8" s="144">
        <v>127089</v>
      </c>
      <c r="B8" s="42" t="s">
        <v>67</v>
      </c>
      <c r="C8" s="173">
        <f>VLOOKUP(A8,RealTimeData_ConvertibleBond!$B$7:$D$25,3,FALSE)</f>
        <v>102.7</v>
      </c>
      <c r="D8" s="15" t="e">
        <f t="shared" si="0"/>
        <v>#N/A</v>
      </c>
      <c r="E8" s="15" t="e">
        <f t="shared" si="1"/>
        <v>#N/A</v>
      </c>
      <c r="F8" s="136" t="e">
        <f t="shared" si="1"/>
        <v>#N/A</v>
      </c>
      <c r="H8" s="174">
        <v>6</v>
      </c>
      <c r="I8" s="42">
        <v>127014</v>
      </c>
      <c r="J8" s="42" t="s">
        <v>38</v>
      </c>
      <c r="K8" s="42">
        <v>148.74</v>
      </c>
      <c r="L8" s="137">
        <v>7.09</v>
      </c>
      <c r="M8" s="42">
        <v>532.12819999999999</v>
      </c>
      <c r="N8" s="135">
        <v>743.7</v>
      </c>
      <c r="O8" s="136" t="str">
        <f t="shared" ref="O8:O10" si="5">IF(ISNA(MATCH(I8,$A$3:$A$255,0)),"No","Yes")</f>
        <v>No</v>
      </c>
      <c r="Q8" s="174"/>
      <c r="U8" s="137"/>
      <c r="V8" s="135"/>
      <c r="W8" s="135"/>
      <c r="X8" s="136"/>
      <c r="Z8" s="176"/>
      <c r="AG8" s="136"/>
    </row>
    <row r="9" spans="1:33" s="173" customFormat="1">
      <c r="A9" s="144">
        <v>127032</v>
      </c>
      <c r="B9" s="42" t="s">
        <v>55</v>
      </c>
      <c r="C9" s="173">
        <f>VLOOKUP(A9,RealTimeData_ConvertibleBond!$B$7:$D$25,3,FALSE)</f>
        <v>118.5</v>
      </c>
      <c r="D9" s="15" t="e">
        <f t="shared" si="0"/>
        <v>#N/A</v>
      </c>
      <c r="E9" s="15" t="e">
        <f t="shared" si="1"/>
        <v>#N/A</v>
      </c>
      <c r="F9" s="136" t="e">
        <f t="shared" si="1"/>
        <v>#N/A</v>
      </c>
      <c r="H9" s="174">
        <v>7</v>
      </c>
      <c r="I9" s="42">
        <v>127037</v>
      </c>
      <c r="J9" s="42" t="s">
        <v>34</v>
      </c>
      <c r="K9" s="42">
        <v>161.67599999999999</v>
      </c>
      <c r="L9" s="137">
        <v>0.26</v>
      </c>
      <c r="M9" s="42">
        <v>618.81590000000006</v>
      </c>
      <c r="N9" s="135">
        <v>808.37999999999988</v>
      </c>
      <c r="O9" s="136" t="str">
        <f t="shared" si="5"/>
        <v>No</v>
      </c>
      <c r="Q9" s="174"/>
      <c r="R9" s="13"/>
      <c r="S9" s="13"/>
      <c r="T9" s="13"/>
      <c r="U9" s="137"/>
      <c r="V9" s="135"/>
      <c r="W9" s="135"/>
      <c r="X9" s="136"/>
      <c r="Z9" s="175"/>
      <c r="AG9" s="136"/>
    </row>
    <row r="10" spans="1:33">
      <c r="A10" s="144">
        <v>113066</v>
      </c>
      <c r="B10" s="42" t="s">
        <v>53</v>
      </c>
      <c r="C10" s="173">
        <f>VLOOKUP(A10,RealTimeData_ConvertibleBond!$B$7:$D$10,3,FALSE)</f>
        <v>154.197</v>
      </c>
      <c r="D10" s="15" t="e">
        <f t="shared" si="0"/>
        <v>#N/A</v>
      </c>
      <c r="E10" s="15" t="e">
        <f t="shared" si="1"/>
        <v>#N/A</v>
      </c>
      <c r="F10" s="136" t="e">
        <f t="shared" si="1"/>
        <v>#N/A</v>
      </c>
      <c r="H10" s="174">
        <v>8</v>
      </c>
      <c r="I10" s="42">
        <v>128106</v>
      </c>
      <c r="J10" s="42" t="s">
        <v>36</v>
      </c>
      <c r="K10" s="42">
        <v>210.1</v>
      </c>
      <c r="L10" s="137">
        <v>2.04</v>
      </c>
      <c r="M10" s="42">
        <v>252.55850000000001</v>
      </c>
      <c r="N10" s="135">
        <v>1050.5</v>
      </c>
      <c r="O10" s="136" t="str">
        <f t="shared" si="5"/>
        <v>No</v>
      </c>
      <c r="Q10" s="174"/>
      <c r="U10" s="137"/>
      <c r="V10" s="135"/>
      <c r="W10" s="135"/>
      <c r="X10" s="136"/>
      <c r="Z10" s="176"/>
      <c r="AG10" s="136"/>
    </row>
    <row r="11" spans="1:33">
      <c r="A11" s="145"/>
      <c r="B11" s="42"/>
      <c r="C11" s="173"/>
      <c r="D11" s="15"/>
      <c r="E11" s="15"/>
      <c r="F11" s="136"/>
      <c r="H11" s="174"/>
      <c r="I11" s="42"/>
      <c r="J11" s="42"/>
      <c r="K11" s="42"/>
      <c r="L11" s="137"/>
      <c r="M11" s="42"/>
      <c r="N11" s="135"/>
      <c r="O11" s="136"/>
      <c r="Q11" s="174"/>
      <c r="U11" s="137"/>
      <c r="V11" s="135"/>
      <c r="W11" s="135"/>
      <c r="X11" s="136"/>
      <c r="Z11" s="176"/>
      <c r="AG11" s="136"/>
    </row>
    <row r="12" spans="1:33">
      <c r="A12" s="145"/>
      <c r="B12" s="42"/>
      <c r="C12" s="173"/>
      <c r="D12" s="15"/>
      <c r="E12" s="15"/>
      <c r="F12" s="136"/>
      <c r="H12" s="174"/>
      <c r="I12" s="42"/>
      <c r="J12" s="42"/>
      <c r="K12" s="42"/>
      <c r="L12" s="137"/>
      <c r="M12" s="42"/>
      <c r="N12" s="135"/>
      <c r="O12" s="136"/>
      <c r="Q12" s="174"/>
      <c r="U12" s="137"/>
      <c r="V12" s="135"/>
      <c r="W12" s="135"/>
      <c r="X12" s="136"/>
      <c r="Z12" s="176"/>
      <c r="AG12" s="136"/>
    </row>
    <row r="13" spans="1:33">
      <c r="A13" s="145"/>
      <c r="B13" s="42"/>
      <c r="C13" s="173"/>
      <c r="D13" s="15"/>
      <c r="E13" s="15"/>
      <c r="F13" s="136"/>
      <c r="H13" s="174"/>
      <c r="I13" s="42"/>
      <c r="J13" s="42"/>
      <c r="K13" s="42"/>
      <c r="L13" s="137"/>
      <c r="M13" s="42"/>
      <c r="N13" s="135"/>
      <c r="O13" s="136"/>
      <c r="Q13" s="174"/>
      <c r="U13" s="137"/>
      <c r="V13" s="135"/>
      <c r="W13" s="135"/>
      <c r="X13" s="136"/>
      <c r="Z13" s="176"/>
      <c r="AG13" s="136"/>
    </row>
    <row r="14" spans="1:33">
      <c r="A14" s="145"/>
      <c r="B14" s="42"/>
      <c r="C14" s="173"/>
      <c r="D14" s="15"/>
      <c r="E14" s="15"/>
      <c r="F14" s="136"/>
      <c r="H14" s="174"/>
      <c r="I14" s="42"/>
      <c r="J14" s="42"/>
      <c r="K14" s="42"/>
      <c r="L14" s="137"/>
      <c r="M14" s="42"/>
      <c r="N14" s="135"/>
      <c r="O14" s="136"/>
      <c r="Q14" s="174"/>
      <c r="U14" s="137"/>
      <c r="V14" s="135"/>
      <c r="W14" s="135"/>
      <c r="X14" s="136"/>
      <c r="Z14" s="176"/>
      <c r="AG14" s="136"/>
    </row>
    <row r="15" spans="1:33">
      <c r="A15" s="145"/>
      <c r="B15" s="42"/>
      <c r="C15" s="173"/>
      <c r="D15" s="15"/>
      <c r="E15" s="15"/>
      <c r="F15" s="136"/>
      <c r="H15" s="174"/>
      <c r="I15" s="42"/>
      <c r="J15" s="42"/>
      <c r="K15" s="42"/>
      <c r="L15" s="137"/>
      <c r="M15" s="42"/>
      <c r="N15" s="135"/>
      <c r="O15" s="136"/>
      <c r="Q15" s="174"/>
      <c r="U15" s="137"/>
      <c r="V15" s="135"/>
      <c r="W15" s="135"/>
      <c r="X15" s="136"/>
      <c r="Z15" s="176"/>
      <c r="AG15" s="136"/>
    </row>
    <row r="16" spans="1:33">
      <c r="A16" s="145"/>
      <c r="B16" s="42"/>
      <c r="C16" s="173"/>
      <c r="D16" s="15"/>
      <c r="E16" s="15"/>
      <c r="F16" s="136"/>
      <c r="H16" s="174"/>
      <c r="I16" s="42"/>
      <c r="J16" s="42"/>
      <c r="K16" s="42"/>
      <c r="L16" s="137"/>
      <c r="M16" s="42"/>
      <c r="N16" s="135"/>
      <c r="O16" s="136"/>
      <c r="Q16" s="174"/>
      <c r="U16" s="137"/>
      <c r="V16" s="135"/>
      <c r="W16" s="135"/>
      <c r="X16" s="136"/>
      <c r="Z16" s="176"/>
      <c r="AG16" s="136"/>
    </row>
    <row r="17" spans="1:33" ht="16" thickBot="1">
      <c r="A17" s="146"/>
      <c r="B17" s="142"/>
      <c r="C17" s="177"/>
      <c r="D17" s="147"/>
      <c r="E17" s="147"/>
      <c r="F17" s="136"/>
      <c r="H17" s="178"/>
      <c r="I17" s="142"/>
      <c r="J17" s="142"/>
      <c r="K17" s="142"/>
      <c r="L17" s="139"/>
      <c r="M17" s="142"/>
      <c r="N17" s="140"/>
      <c r="O17" s="136"/>
      <c r="Q17" s="178"/>
      <c r="R17" s="138"/>
      <c r="S17" s="138"/>
      <c r="T17" s="138"/>
      <c r="U17" s="139"/>
      <c r="V17" s="140"/>
      <c r="W17" s="140"/>
      <c r="X17" s="141"/>
      <c r="Z17" s="179"/>
      <c r="AA17" s="138"/>
      <c r="AB17" s="138"/>
      <c r="AC17" s="138"/>
      <c r="AD17" s="138"/>
      <c r="AE17" s="138"/>
      <c r="AF17" s="138"/>
      <c r="AG17" s="141"/>
    </row>
    <row r="22" spans="1:33">
      <c r="A22" s="188" t="s">
        <v>134</v>
      </c>
      <c r="B22" s="188"/>
      <c r="C22" s="188"/>
    </row>
    <row r="23" spans="1:33">
      <c r="A23" s="188"/>
      <c r="B23" s="188"/>
      <c r="C23" s="188"/>
    </row>
    <row r="24" spans="1:33">
      <c r="A24" s="188"/>
      <c r="B24" s="188"/>
      <c r="C24" s="188"/>
    </row>
  </sheetData>
  <autoFilter ref="A2:W17" xr:uid="{00000000-0009-0000-0000-000003000000}"/>
  <mergeCells count="6">
    <mergeCell ref="H1:O1"/>
    <mergeCell ref="Q1:X1"/>
    <mergeCell ref="Z1:AG1"/>
    <mergeCell ref="A22:C24"/>
    <mergeCell ref="A1:C1"/>
    <mergeCell ref="D1:F1"/>
  </mergeCells>
  <phoneticPr fontId="3" type="noConversion"/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refresh_multifactor_strategies">
                <anchor moveWithCells="1" sizeWithCells="1">
                  <from>
                    <xdr:col>0</xdr:col>
                    <xdr:colOff>520700</xdr:colOff>
                    <xdr:row>23</xdr:row>
                    <xdr:rowOff>165100</xdr:rowOff>
                  </from>
                  <to>
                    <xdr:col>2</xdr:col>
                    <xdr:colOff>95250</xdr:colOff>
                    <xdr:row>26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B17"/>
  <sheetViews>
    <sheetView workbookViewId="0">
      <selection activeCell="I23" sqref="I23"/>
    </sheetView>
  </sheetViews>
  <sheetFormatPr defaultColWidth="8.83203125" defaultRowHeight="15.5"/>
  <cols>
    <col min="1" max="1" width="14.75" style="1" customWidth="1"/>
    <col min="2" max="2" width="9.25" style="1" customWidth="1"/>
    <col min="3" max="16384" width="8.83203125" style="1"/>
  </cols>
  <sheetData>
    <row r="1" spans="1:2">
      <c r="A1" s="1" t="s">
        <v>8</v>
      </c>
      <c r="B1" s="1" t="s">
        <v>13</v>
      </c>
    </row>
    <row r="2" spans="1:2">
      <c r="A2" s="1" t="s">
        <v>9</v>
      </c>
    </row>
    <row r="3" spans="1:2">
      <c r="A3" s="1" t="s">
        <v>0</v>
      </c>
    </row>
    <row r="4" spans="1:2">
      <c r="A4" s="1" t="s">
        <v>7</v>
      </c>
    </row>
    <row r="5" spans="1:2">
      <c r="A5" s="1" t="s">
        <v>5</v>
      </c>
    </row>
    <row r="6" spans="1:2">
      <c r="A6" s="1" t="s">
        <v>1</v>
      </c>
    </row>
    <row r="7" spans="1:2">
      <c r="A7" s="1" t="s">
        <v>2</v>
      </c>
      <c r="B7" s="1" t="b">
        <v>0</v>
      </c>
    </row>
    <row r="8" spans="1:2">
      <c r="A8" s="1" t="s">
        <v>3</v>
      </c>
      <c r="B8" s="1" t="b">
        <v>0</v>
      </c>
    </row>
    <row r="9" spans="1:2">
      <c r="A9" s="1" t="s">
        <v>14</v>
      </c>
      <c r="B9" s="1" t="b">
        <v>1</v>
      </c>
    </row>
    <row r="13" spans="1:2">
      <c r="A13" s="2" t="s">
        <v>4</v>
      </c>
    </row>
    <row r="14" spans="1:2">
      <c r="A14" s="1" t="s">
        <v>10</v>
      </c>
    </row>
    <row r="15" spans="1:2">
      <c r="A15" s="1" t="s">
        <v>11</v>
      </c>
    </row>
    <row r="16" spans="1:2">
      <c r="A16" s="1" t="s">
        <v>6</v>
      </c>
    </row>
    <row r="17" spans="1:1">
      <c r="A17" s="1" t="s">
        <v>12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Readme</vt:lpstr>
      <vt:lpstr>RealTimeData_ConvertibleBond</vt:lpstr>
      <vt:lpstr>Underlying_Values</vt:lpstr>
      <vt:lpstr>Singlefactor Strategies</vt:lpstr>
      <vt:lpstr>Multifactor Strategies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Lin Yang</cp:lastModifiedBy>
  <dcterms:created xsi:type="dcterms:W3CDTF">2015-01-25T11:31:25Z</dcterms:created>
  <dcterms:modified xsi:type="dcterms:W3CDTF">2024-02-28T14:36:01Z</dcterms:modified>
</cp:coreProperties>
</file>